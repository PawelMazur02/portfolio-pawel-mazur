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ur\Desktop\STUDIA\PROJEKTY DO PORTFOLIO\"/>
    </mc:Choice>
  </mc:AlternateContent>
  <xr:revisionPtr revIDLastSave="0" documentId="13_ncr:1_{375DA24F-4A0B-45C5-B09E-4F5C7F8A2BBA}" xr6:coauthVersionLast="47" xr6:coauthVersionMax="47" xr10:uidLastSave="{00000000-0000-0000-0000-000000000000}"/>
  <bookViews>
    <workbookView xWindow="-120" yWindow="-120" windowWidth="29040" windowHeight="15720" xr2:uid="{806B08D2-BCF8-4C12-95C8-36F946E6B9A7}"/>
  </bookViews>
  <sheets>
    <sheet name="Arkusz1" sheetId="1" r:id="rId1"/>
  </sheets>
  <definedNames>
    <definedName name="_xlnm._FilterDatabase" localSheetId="0" hidden="1">Arkusz1!$B$5:$N$29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T17" i="1"/>
  <c r="V20" i="1" l="1"/>
  <c r="U20" i="1"/>
  <c r="T20" i="1"/>
  <c r="S20" i="1"/>
  <c r="R20" i="1"/>
  <c r="R19" i="1"/>
  <c r="V19" i="1"/>
  <c r="U19" i="1"/>
  <c r="T19" i="1"/>
  <c r="S19" i="1"/>
  <c r="V18" i="1"/>
  <c r="U18" i="1"/>
  <c r="T18" i="1"/>
  <c r="S18" i="1"/>
  <c r="R18" i="1"/>
  <c r="V17" i="1"/>
  <c r="U17" i="1"/>
  <c r="S17" i="1"/>
  <c r="R17" i="1"/>
  <c r="V16" i="1"/>
  <c r="U16" i="1"/>
  <c r="T16" i="1"/>
  <c r="S16" i="1"/>
  <c r="Q20" i="1"/>
  <c r="Q19" i="1"/>
  <c r="Q18" i="1"/>
  <c r="Q17" i="1"/>
  <c r="Q16" i="1"/>
  <c r="V15" i="1"/>
  <c r="U15" i="1"/>
  <c r="T15" i="1"/>
  <c r="S15" i="1"/>
  <c r="R15" i="1"/>
  <c r="Q11" i="1"/>
  <c r="Q10" i="1"/>
  <c r="Q9" i="1"/>
  <c r="Q8" i="1"/>
  <c r="Q7" i="1"/>
  <c r="V6" i="1"/>
  <c r="U6" i="1"/>
  <c r="T6" i="1"/>
  <c r="S6" i="1"/>
  <c r="R6" i="1"/>
  <c r="M7" i="1" l="1"/>
  <c r="M6" i="1"/>
  <c r="M18" i="1"/>
  <c r="M17" i="1"/>
  <c r="M16" i="1"/>
  <c r="M15" i="1"/>
  <c r="M26" i="1"/>
  <c r="M14" i="1"/>
  <c r="M25" i="1"/>
  <c r="M13" i="1"/>
  <c r="M24" i="1"/>
  <c r="M12" i="1"/>
  <c r="M23" i="1"/>
  <c r="M11" i="1"/>
  <c r="M10" i="1"/>
  <c r="M9" i="1"/>
  <c r="M20" i="1"/>
  <c r="M8" i="1"/>
  <c r="M22" i="1"/>
  <c r="M21" i="1"/>
  <c r="M19" i="1"/>
</calcChain>
</file>

<file path=xl/sharedStrings.xml><?xml version="1.0" encoding="utf-8"?>
<sst xmlns="http://schemas.openxmlformats.org/spreadsheetml/2006/main" count="159" uniqueCount="90">
  <si>
    <t>OCENA RYZYKA</t>
  </si>
  <si>
    <t>NAZWA PROJEKTU:</t>
  </si>
  <si>
    <t>ZAKTUALIZOWANE PRZEZ:</t>
  </si>
  <si>
    <t>DATA:</t>
  </si>
  <si>
    <t>Lp.</t>
  </si>
  <si>
    <t>OPIS RYZYKA</t>
  </si>
  <si>
    <t>PRZYCZYNA</t>
  </si>
  <si>
    <t>KONSEKWENCJE</t>
  </si>
  <si>
    <t>IMIĘ I NAZWISKO OSOBY WPROWADZAJĄCEJ</t>
  </si>
  <si>
    <t>PRAWDOPODOBIEŃSTWO</t>
  </si>
  <si>
    <t>WPŁYW</t>
  </si>
  <si>
    <t>POZIOM RYZYKA</t>
  </si>
  <si>
    <t>UMIARKOWANY</t>
  </si>
  <si>
    <t>POWAŻNY</t>
  </si>
  <si>
    <t>KRYTYCZNY</t>
  </si>
  <si>
    <t>BARDZO WYSOKIE</t>
  </si>
  <si>
    <t>BARDZO WYSOKI</t>
  </si>
  <si>
    <t>ZRÓWNOWAŻONY</t>
  </si>
  <si>
    <t>WYSOKIE</t>
  </si>
  <si>
    <t>WYSOKI</t>
  </si>
  <si>
    <t>ŚREDNIE</t>
  </si>
  <si>
    <t>ŚREDNI</t>
  </si>
  <si>
    <t>NISKIE</t>
  </si>
  <si>
    <t>NISKI</t>
  </si>
  <si>
    <t>BARDZO NISKIE</t>
  </si>
  <si>
    <t>BARDZO NISKI</t>
  </si>
  <si>
    <t>KALKULATOR KOSZTÓW PODRÓŻY</t>
  </si>
  <si>
    <t>Opóźnienia w zbieraniu wymagań</t>
  </si>
  <si>
    <t>Problemy z dostępem do danych rynkowych</t>
  </si>
  <si>
    <t>Opóźnienie całego projektu</t>
  </si>
  <si>
    <t>Problemy z wyborem interfejsu</t>
  </si>
  <si>
    <t>Brak zgody w zespole co do wyglądu i stylu</t>
  </si>
  <si>
    <t>Niezadowolenie użytkowników, dodatkowe prace</t>
  </si>
  <si>
    <t>Błędy w kodzie</t>
  </si>
  <si>
    <t>Niewystarczające testowanie</t>
  </si>
  <si>
    <t>Nieprawidłowe działanie kalkulatora, błędy</t>
  </si>
  <si>
    <t>Problemy z integracją API</t>
  </si>
  <si>
    <t>Zmiany w API dostawców danych</t>
  </si>
  <si>
    <t>Przerwy w działaniu kalkulatora</t>
  </si>
  <si>
    <t>Problemy z wydajnością</t>
  </si>
  <si>
    <t>Nieoptymalny kod</t>
  </si>
  <si>
    <t>Spowolnienie działania kalkulatora</t>
  </si>
  <si>
    <t>Brak zgodności z wymaganiami</t>
  </si>
  <si>
    <t>Nieprawidłowa analiza wymagań</t>
  </si>
  <si>
    <t>Niezadowolenie klienta, konieczność poprawek</t>
  </si>
  <si>
    <t>Problemy z dokumentacją</t>
  </si>
  <si>
    <t>Niedostateczny czas na przygotowanie dokumentacji</t>
  </si>
  <si>
    <t>Trudności w dalszym rozwijaniu i utrzymaniu</t>
  </si>
  <si>
    <t>Problemy z dostępnością zasobów</t>
  </si>
  <si>
    <t>Choroba członków zespołu, problemy sprzętowe</t>
  </si>
  <si>
    <t>Opóźnienia w realizacji zadań</t>
  </si>
  <si>
    <t>Zmiana wymagań w trakcie projektu</t>
  </si>
  <si>
    <t>Nowe potrzeby klienta lub rynku</t>
  </si>
  <si>
    <t>Konieczność wprowadzania zmian, opóźnienia</t>
  </si>
  <si>
    <t>Błędy w wyszukiwaniu danych</t>
  </si>
  <si>
    <t>Nieprawidłowe algorytmy wyszukiwania</t>
  </si>
  <si>
    <t>Nieprawidłowe wyniki wyszukiwania</t>
  </si>
  <si>
    <t>Trudności z dostępem do czcionek</t>
  </si>
  <si>
    <t>Problemy z licencjami lub dostępem do zasobów</t>
  </si>
  <si>
    <t>Konieczność wyboru alternatywnych czcionek</t>
  </si>
  <si>
    <t>Problemy z wersjonowaniem kodu</t>
  </si>
  <si>
    <t>Błędy w systemie kontroli wersji</t>
  </si>
  <si>
    <t>Konieczność ręcznego porównywania wersji</t>
  </si>
  <si>
    <t>Niewielkie błędy graficzne</t>
  </si>
  <si>
    <t>Różnice w renderowaniu na różnych przeglądarkach</t>
  </si>
  <si>
    <t>Drobne problemy wizualne na niektórych urządzeniach</t>
  </si>
  <si>
    <t>Problemy z serwerem testowym</t>
  </si>
  <si>
    <t>Przerwy w działaniu serwera testowego</t>
  </si>
  <si>
    <t>Krótkie opóźnienia w testach</t>
  </si>
  <si>
    <t>Trudności z dostępem do API pogodowego</t>
  </si>
  <si>
    <t>Tymczasowe przerwy w dostępie do usług pogodowych</t>
  </si>
  <si>
    <t>Czasowe braki w danych pogodowych</t>
  </si>
  <si>
    <t>Problemy z certyfikatami SSL</t>
  </si>
  <si>
    <t>Błędy w konfiguracji lub odnowieniu certyfikatów</t>
  </si>
  <si>
    <t>Niezabezpieczona komunikacja, utrata zaufania</t>
  </si>
  <si>
    <t>Problemy z prawami autorskimi</t>
  </si>
  <si>
    <t>Naruszenie praw autorskich</t>
  </si>
  <si>
    <t>Konieczność zmiany elementów projektu, koszty prawne</t>
  </si>
  <si>
    <t>Problemy z dostępnością biura</t>
  </si>
  <si>
    <t>Nagłe awarie lub prace remontowe</t>
  </si>
  <si>
    <t>Tymczasowe przeniesienie pracy do domu</t>
  </si>
  <si>
    <t>Problemy z dostępem do internetu</t>
  </si>
  <si>
    <t>Awarie sieci, prace serwisowe</t>
  </si>
  <si>
    <t>Przestoje w pracy zdalnej</t>
  </si>
  <si>
    <t>Problemy z synchronizacją danych</t>
  </si>
  <si>
    <t>Błędy w systemie synchronizacji</t>
  </si>
  <si>
    <t>Niezgodność danych między systemami</t>
  </si>
  <si>
    <t>Problemy z zarządzaniem projektem</t>
  </si>
  <si>
    <t>Nieefektywne zarządzanie czasem</t>
  </si>
  <si>
    <t>Przestoje, opóźnienia, zwiększone koszty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</si>
</sst>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right"/>
    </xf>
    <xf numFmtId="14" fontId="0" fillId="3" borderId="0" xfId="0" applyNumberFormat="1" applyFill="1"/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0" fillId="0" borderId="2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9" borderId="24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2" fillId="2" borderId="0" xfId="0" applyFont="1" applyFill="1" applyAlignment="1">
      <alignment horizontal="right"/>
    </xf>
  </cellXfs>
  <cellStyles count="1">
    <cellStyle name="Normalny" xfId="0" builtinId="0"/>
  </cellStyles>
  <dxfs count="4"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C137-0FA6-4233-8D77-13AB3076F55B}">
  <dimension ref="B1:Z29"/>
  <sheetViews>
    <sheetView tabSelected="1" zoomScale="70" zoomScaleNormal="70" workbookViewId="0">
      <selection activeCell="P29" sqref="P29"/>
    </sheetView>
  </sheetViews>
  <sheetFormatPr defaultRowHeight="15" x14ac:dyDescent="0.25"/>
  <cols>
    <col min="2" max="2" width="7.140625" customWidth="1"/>
    <col min="3" max="3" width="13.5703125" customWidth="1"/>
    <col min="4" max="4" width="23.85546875" customWidth="1"/>
    <col min="5" max="5" width="10.42578125" bestFit="1" customWidth="1"/>
    <col min="6" max="6" width="35.85546875" customWidth="1"/>
    <col min="8" max="8" width="40.140625" customWidth="1"/>
    <col min="11" max="11" width="18.85546875" bestFit="1" customWidth="1"/>
    <col min="12" max="12" width="14.85546875" bestFit="1" customWidth="1"/>
    <col min="13" max="13" width="10.7109375" bestFit="1" customWidth="1"/>
    <col min="14" max="14" width="7" customWidth="1"/>
    <col min="18" max="20" width="13.5703125" bestFit="1" customWidth="1"/>
    <col min="21" max="21" width="11.85546875" bestFit="1" customWidth="1"/>
    <col min="22" max="22" width="12.140625" bestFit="1" customWidth="1"/>
    <col min="23" max="23" width="22.85546875" bestFit="1" customWidth="1"/>
    <col min="24" max="24" width="15.85546875" bestFit="1" customWidth="1"/>
    <col min="25" max="25" width="22.85546875" bestFit="1" customWidth="1"/>
    <col min="26" max="26" width="15.85546875" bestFit="1" customWidth="1"/>
  </cols>
  <sheetData>
    <row r="1" spans="2:26" x14ac:dyDescent="0.25"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2:26" x14ac:dyDescent="0.25"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2:26" x14ac:dyDescent="0.25">
      <c r="B3" s="1"/>
      <c r="C3" s="64" t="s">
        <v>1</v>
      </c>
      <c r="D3" s="64"/>
      <c r="E3" s="63" t="s">
        <v>26</v>
      </c>
      <c r="F3" s="63"/>
      <c r="G3" s="64" t="s">
        <v>2</v>
      </c>
      <c r="H3" s="64"/>
      <c r="I3" s="64"/>
      <c r="J3" s="63"/>
      <c r="K3" s="63"/>
      <c r="L3" s="2" t="s">
        <v>3</v>
      </c>
      <c r="M3" s="3">
        <v>45462</v>
      </c>
      <c r="N3" s="1"/>
    </row>
    <row r="4" spans="2:26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26" ht="45" customHeight="1" thickBot="1" x14ac:dyDescent="0.3">
      <c r="B5" s="34" t="s">
        <v>4</v>
      </c>
      <c r="C5" s="46" t="s">
        <v>5</v>
      </c>
      <c r="D5" s="47"/>
      <c r="E5" s="46" t="s">
        <v>6</v>
      </c>
      <c r="F5" s="47"/>
      <c r="G5" s="46" t="s">
        <v>7</v>
      </c>
      <c r="H5" s="47"/>
      <c r="I5" s="51" t="s">
        <v>8</v>
      </c>
      <c r="J5" s="52"/>
      <c r="K5" s="35" t="s">
        <v>9</v>
      </c>
      <c r="L5" s="35" t="s">
        <v>10</v>
      </c>
      <c r="M5" s="46" t="s">
        <v>11</v>
      </c>
      <c r="N5" s="47"/>
    </row>
    <row r="6" spans="2:26" ht="25.35" customHeight="1" thickBot="1" x14ac:dyDescent="0.3">
      <c r="B6" s="4">
        <v>1</v>
      </c>
      <c r="C6" s="60" t="s">
        <v>27</v>
      </c>
      <c r="D6" s="61"/>
      <c r="E6" s="60" t="s">
        <v>28</v>
      </c>
      <c r="F6" s="61"/>
      <c r="G6" s="60" t="s">
        <v>29</v>
      </c>
      <c r="H6" s="61"/>
      <c r="I6" s="48"/>
      <c r="J6" s="53"/>
      <c r="K6" s="7" t="s">
        <v>20</v>
      </c>
      <c r="L6" s="7" t="s">
        <v>19</v>
      </c>
      <c r="M6" s="48" t="str">
        <f>INDEX($R$7:$V$11,MATCH(K6,$Q$7:$Q$11,0),MATCH(L6,$R$6:$V$6,0))</f>
        <v>POWAŻNY</v>
      </c>
      <c r="N6" s="49"/>
      <c r="P6" s="36" t="s">
        <v>10</v>
      </c>
      <c r="Q6" s="37"/>
      <c r="R6" s="14" t="str">
        <f>Z11</f>
        <v>BARDZO NISKI</v>
      </c>
      <c r="S6" s="15" t="str">
        <f>Z10</f>
        <v>NISKI</v>
      </c>
      <c r="T6" s="15" t="str">
        <f>Z9</f>
        <v>ŚREDNI</v>
      </c>
      <c r="U6" s="15" t="str">
        <f>Z8</f>
        <v>WYSOKI</v>
      </c>
      <c r="V6" s="16" t="str">
        <f>Z7</f>
        <v>BARDZO WYSOKI</v>
      </c>
      <c r="Y6" s="13" t="s">
        <v>9</v>
      </c>
      <c r="Z6" s="13" t="s">
        <v>10</v>
      </c>
    </row>
    <row r="7" spans="2:26" ht="24" x14ac:dyDescent="0.25">
      <c r="B7" s="5">
        <v>2</v>
      </c>
      <c r="C7" s="54" t="s">
        <v>30</v>
      </c>
      <c r="D7" s="55"/>
      <c r="E7" s="54" t="s">
        <v>31</v>
      </c>
      <c r="F7" s="55"/>
      <c r="G7" s="54" t="s">
        <v>32</v>
      </c>
      <c r="H7" s="55"/>
      <c r="I7" s="41"/>
      <c r="J7" s="50"/>
      <c r="K7" s="8" t="s">
        <v>22</v>
      </c>
      <c r="L7" s="8" t="s">
        <v>21</v>
      </c>
      <c r="M7" s="41" t="str">
        <f>INDEX($R$7:$V$11,MATCH(K7,$Q$7:$Q$11,0),MATCH(L7,$R$6:$V$6,0))</f>
        <v>UMIARKOWANY</v>
      </c>
      <c r="N7" s="42"/>
      <c r="P7" s="38" t="s">
        <v>9</v>
      </c>
      <c r="Q7" s="17" t="str">
        <f>Y7</f>
        <v>BARDZO WYSOKIE</v>
      </c>
      <c r="R7" s="20" t="s">
        <v>12</v>
      </c>
      <c r="S7" s="23" t="s">
        <v>13</v>
      </c>
      <c r="T7" s="23" t="s">
        <v>13</v>
      </c>
      <c r="U7" s="26" t="s">
        <v>14</v>
      </c>
      <c r="V7" s="27" t="s">
        <v>14</v>
      </c>
      <c r="Y7" s="10" t="s">
        <v>15</v>
      </c>
      <c r="Z7" s="10" t="s">
        <v>16</v>
      </c>
    </row>
    <row r="8" spans="2:26" ht="25.35" customHeight="1" x14ac:dyDescent="0.25">
      <c r="B8" s="5">
        <v>3</v>
      </c>
      <c r="C8" s="54" t="s">
        <v>33</v>
      </c>
      <c r="D8" s="55"/>
      <c r="E8" s="54" t="s">
        <v>34</v>
      </c>
      <c r="F8" s="55"/>
      <c r="G8" s="54" t="s">
        <v>35</v>
      </c>
      <c r="H8" s="55"/>
      <c r="I8" s="41"/>
      <c r="J8" s="50"/>
      <c r="K8" s="8" t="s">
        <v>18</v>
      </c>
      <c r="L8" s="8" t="s">
        <v>19</v>
      </c>
      <c r="M8" s="41" t="str">
        <f t="shared" ref="M8:M26" si="0">INDEX($R$7:$V$11,MATCH(K8,$Q$7:$Q$11,0),MATCH(L8,$R$6:$V$6,0))</f>
        <v>KRYTYCZNY</v>
      </c>
      <c r="N8" s="42"/>
      <c r="P8" s="39"/>
      <c r="Q8" s="18" t="str">
        <f>Y8</f>
        <v>WYSOKIE</v>
      </c>
      <c r="R8" s="30" t="s">
        <v>17</v>
      </c>
      <c r="S8" s="21" t="s">
        <v>12</v>
      </c>
      <c r="T8" s="24" t="s">
        <v>13</v>
      </c>
      <c r="U8" s="28" t="s">
        <v>14</v>
      </c>
      <c r="V8" s="29" t="s">
        <v>14</v>
      </c>
      <c r="Y8" s="11" t="s">
        <v>18</v>
      </c>
      <c r="Z8" s="11" t="s">
        <v>19</v>
      </c>
    </row>
    <row r="9" spans="2:26" ht="23.45" customHeight="1" x14ac:dyDescent="0.25">
      <c r="B9" s="5">
        <v>4</v>
      </c>
      <c r="C9" s="54" t="s">
        <v>36</v>
      </c>
      <c r="D9" s="55"/>
      <c r="E9" s="54" t="s">
        <v>37</v>
      </c>
      <c r="F9" s="55"/>
      <c r="G9" s="54" t="s">
        <v>38</v>
      </c>
      <c r="H9" s="55"/>
      <c r="I9" s="41"/>
      <c r="J9" s="50"/>
      <c r="K9" s="8" t="s">
        <v>20</v>
      </c>
      <c r="L9" s="8" t="s">
        <v>19</v>
      </c>
      <c r="M9" s="41" t="str">
        <f t="shared" si="0"/>
        <v>POWAŻNY</v>
      </c>
      <c r="N9" s="42"/>
      <c r="P9" s="39"/>
      <c r="Q9" s="18" t="str">
        <f>Y9</f>
        <v>ŚREDNIE</v>
      </c>
      <c r="R9" s="30" t="s">
        <v>17</v>
      </c>
      <c r="S9" s="21" t="s">
        <v>12</v>
      </c>
      <c r="T9" s="21" t="s">
        <v>12</v>
      </c>
      <c r="U9" s="24" t="s">
        <v>13</v>
      </c>
      <c r="V9" s="29" t="s">
        <v>14</v>
      </c>
      <c r="Y9" s="11" t="s">
        <v>20</v>
      </c>
      <c r="Z9" s="11" t="s">
        <v>21</v>
      </c>
    </row>
    <row r="10" spans="2:26" ht="18.600000000000001" customHeight="1" x14ac:dyDescent="0.25">
      <c r="B10" s="5">
        <v>5</v>
      </c>
      <c r="C10" s="54" t="s">
        <v>39</v>
      </c>
      <c r="D10" s="55"/>
      <c r="E10" s="54" t="s">
        <v>40</v>
      </c>
      <c r="F10" s="55"/>
      <c r="G10" s="54" t="s">
        <v>41</v>
      </c>
      <c r="H10" s="55"/>
      <c r="I10" s="41"/>
      <c r="J10" s="50"/>
      <c r="K10" s="8" t="s">
        <v>20</v>
      </c>
      <c r="L10" s="8" t="s">
        <v>21</v>
      </c>
      <c r="M10" s="41" t="str">
        <f t="shared" si="0"/>
        <v>UMIARKOWANY</v>
      </c>
      <c r="N10" s="42"/>
      <c r="P10" s="39"/>
      <c r="Q10" s="18" t="str">
        <f>Y10</f>
        <v>NISKIE</v>
      </c>
      <c r="R10" s="30" t="s">
        <v>17</v>
      </c>
      <c r="S10" s="32" t="s">
        <v>17</v>
      </c>
      <c r="T10" s="21" t="s">
        <v>12</v>
      </c>
      <c r="U10" s="24" t="s">
        <v>13</v>
      </c>
      <c r="V10" s="29" t="s">
        <v>14</v>
      </c>
      <c r="Y10" s="11" t="s">
        <v>22</v>
      </c>
      <c r="Z10" s="11" t="s">
        <v>23</v>
      </c>
    </row>
    <row r="11" spans="2:26" ht="27.6" customHeight="1" thickBot="1" x14ac:dyDescent="0.3">
      <c r="B11" s="5">
        <v>6</v>
      </c>
      <c r="C11" s="54" t="s">
        <v>42</v>
      </c>
      <c r="D11" s="55"/>
      <c r="E11" s="54" t="s">
        <v>43</v>
      </c>
      <c r="F11" s="55"/>
      <c r="G11" s="54" t="s">
        <v>44</v>
      </c>
      <c r="H11" s="55"/>
      <c r="I11" s="41"/>
      <c r="J11" s="50"/>
      <c r="K11" s="8" t="s">
        <v>22</v>
      </c>
      <c r="L11" s="8" t="s">
        <v>19</v>
      </c>
      <c r="M11" s="41" t="str">
        <f t="shared" si="0"/>
        <v>POWAŻNY</v>
      </c>
      <c r="N11" s="42"/>
      <c r="P11" s="40"/>
      <c r="Q11" s="19" t="str">
        <f>Y11</f>
        <v>BARDZO NISKIE</v>
      </c>
      <c r="R11" s="31" t="s">
        <v>17</v>
      </c>
      <c r="S11" s="33" t="s">
        <v>17</v>
      </c>
      <c r="T11" s="33" t="s">
        <v>17</v>
      </c>
      <c r="U11" s="22" t="s">
        <v>12</v>
      </c>
      <c r="V11" s="25" t="s">
        <v>13</v>
      </c>
      <c r="Y11" s="12" t="s">
        <v>24</v>
      </c>
      <c r="Z11" s="12" t="s">
        <v>25</v>
      </c>
    </row>
    <row r="12" spans="2:26" x14ac:dyDescent="0.25">
      <c r="B12" s="5">
        <v>7</v>
      </c>
      <c r="C12" s="54" t="s">
        <v>45</v>
      </c>
      <c r="D12" s="55"/>
      <c r="E12" s="54" t="s">
        <v>46</v>
      </c>
      <c r="F12" s="55"/>
      <c r="G12" s="54" t="s">
        <v>47</v>
      </c>
      <c r="H12" s="55"/>
      <c r="I12" s="41"/>
      <c r="J12" s="50"/>
      <c r="K12" s="8" t="s">
        <v>22</v>
      </c>
      <c r="L12" s="8" t="s">
        <v>21</v>
      </c>
      <c r="M12" s="41" t="str">
        <f t="shared" si="0"/>
        <v>UMIARKOWANY</v>
      </c>
      <c r="N12" s="42"/>
    </row>
    <row r="13" spans="2:26" x14ac:dyDescent="0.25">
      <c r="B13" s="5">
        <v>8</v>
      </c>
      <c r="C13" s="54" t="s">
        <v>48</v>
      </c>
      <c r="D13" s="55"/>
      <c r="E13" s="54" t="s">
        <v>49</v>
      </c>
      <c r="F13" s="55"/>
      <c r="G13" s="54" t="s">
        <v>50</v>
      </c>
      <c r="H13" s="55"/>
      <c r="I13" s="41"/>
      <c r="J13" s="50"/>
      <c r="K13" s="8" t="s">
        <v>24</v>
      </c>
      <c r="L13" s="8" t="s">
        <v>19</v>
      </c>
      <c r="M13" s="41" t="str">
        <f t="shared" si="0"/>
        <v>UMIARKOWANY</v>
      </c>
      <c r="N13" s="42"/>
    </row>
    <row r="14" spans="2:26" ht="15.75" thickBot="1" x14ac:dyDescent="0.3">
      <c r="B14" s="5">
        <v>9</v>
      </c>
      <c r="C14" s="54" t="s">
        <v>51</v>
      </c>
      <c r="D14" s="55"/>
      <c r="E14" s="54" t="s">
        <v>52</v>
      </c>
      <c r="F14" s="55"/>
      <c r="G14" s="54" t="s">
        <v>53</v>
      </c>
      <c r="H14" s="55"/>
      <c r="I14" s="41"/>
      <c r="J14" s="50"/>
      <c r="K14" s="8" t="s">
        <v>22</v>
      </c>
      <c r="L14" s="8" t="s">
        <v>21</v>
      </c>
      <c r="M14" s="41" t="str">
        <f t="shared" si="0"/>
        <v>UMIARKOWANY</v>
      </c>
      <c r="N14" s="42"/>
    </row>
    <row r="15" spans="2:26" ht="24" customHeight="1" thickBot="1" x14ac:dyDescent="0.3">
      <c r="B15" s="5">
        <v>10</v>
      </c>
      <c r="C15" s="54" t="s">
        <v>54</v>
      </c>
      <c r="D15" s="55"/>
      <c r="E15" s="54" t="s">
        <v>55</v>
      </c>
      <c r="F15" s="55"/>
      <c r="G15" s="54" t="s">
        <v>56</v>
      </c>
      <c r="H15" s="55"/>
      <c r="I15" s="41"/>
      <c r="J15" s="50"/>
      <c r="K15" s="8" t="s">
        <v>20</v>
      </c>
      <c r="L15" s="8" t="s">
        <v>21</v>
      </c>
      <c r="M15" s="41" t="str">
        <f t="shared" si="0"/>
        <v>UMIARKOWANY</v>
      </c>
      <c r="N15" s="42"/>
      <c r="P15" s="36" t="s">
        <v>10</v>
      </c>
      <c r="Q15" s="37"/>
      <c r="R15" s="14" t="str">
        <f>Z11</f>
        <v>BARDZO NISKI</v>
      </c>
      <c r="S15" s="15" t="str">
        <f>Z10</f>
        <v>NISKI</v>
      </c>
      <c r="T15" s="15" t="str">
        <f>Z9</f>
        <v>ŚREDNI</v>
      </c>
      <c r="U15" s="15" t="str">
        <f>Z8</f>
        <v>WYSOKI</v>
      </c>
      <c r="V15" s="16" t="str">
        <f>Z7</f>
        <v>BARDZO WYSOKI</v>
      </c>
    </row>
    <row r="16" spans="2:26" ht="24" customHeight="1" x14ac:dyDescent="0.25">
      <c r="B16" s="5">
        <v>11</v>
      </c>
      <c r="C16" s="54" t="s">
        <v>57</v>
      </c>
      <c r="D16" s="55"/>
      <c r="E16" s="54" t="s">
        <v>58</v>
      </c>
      <c r="F16" s="55"/>
      <c r="G16" s="54" t="s">
        <v>59</v>
      </c>
      <c r="H16" s="55"/>
      <c r="I16" s="41"/>
      <c r="J16" s="50"/>
      <c r="K16" s="8" t="s">
        <v>24</v>
      </c>
      <c r="L16" s="8" t="s">
        <v>23</v>
      </c>
      <c r="M16" s="41" t="str">
        <f t="shared" si="0"/>
        <v>ZRÓWNOWAŻONY</v>
      </c>
      <c r="N16" s="42"/>
      <c r="P16" s="38" t="s">
        <v>9</v>
      </c>
      <c r="Q16" s="17" t="str">
        <f>Y7</f>
        <v>BARDZO WYSOKIE</v>
      </c>
      <c r="R16" s="20">
        <f>COUNTIFS($K$6:$K$29,Y7,$L$6:$L$29,Z11)</f>
        <v>0</v>
      </c>
      <c r="S16" s="23">
        <f>COUNTIFS($K$6:$K$29,Y7,$L$6:$L$29,Z10)</f>
        <v>0</v>
      </c>
      <c r="T16" s="23">
        <f>COUNTIFS($K$6:$K$29,Y7,$L$6:$L$29,Z9)</f>
        <v>0</v>
      </c>
      <c r="U16" s="26">
        <f>COUNTIFS($K$6:$K$29,Y7,$L$6:$L$29,Z8)</f>
        <v>0</v>
      </c>
      <c r="V16" s="27">
        <f>COUNTIFS($K$6:$K$29,Y7,$L$6:$L$29,Z7)</f>
        <v>0</v>
      </c>
    </row>
    <row r="17" spans="2:22" x14ac:dyDescent="0.25">
      <c r="B17" s="5">
        <v>12</v>
      </c>
      <c r="C17" s="54" t="s">
        <v>60</v>
      </c>
      <c r="D17" s="55"/>
      <c r="E17" s="54" t="s">
        <v>61</v>
      </c>
      <c r="F17" s="55"/>
      <c r="G17" s="54" t="s">
        <v>62</v>
      </c>
      <c r="H17" s="55"/>
      <c r="I17" s="41"/>
      <c r="J17" s="50"/>
      <c r="K17" s="8" t="s">
        <v>22</v>
      </c>
      <c r="L17" s="8" t="s">
        <v>23</v>
      </c>
      <c r="M17" s="41" t="str">
        <f t="shared" si="0"/>
        <v>ZRÓWNOWAŻONY</v>
      </c>
      <c r="N17" s="42"/>
      <c r="P17" s="39"/>
      <c r="Q17" s="18" t="str">
        <f>Y8</f>
        <v>WYSOKIE</v>
      </c>
      <c r="R17" s="30">
        <f>COUNTIFS($K$6:$K$29,Y8,$L$6:$L$29,Z11)</f>
        <v>0</v>
      </c>
      <c r="S17" s="21">
        <f>COUNTIFS($K$6:$K$29,Y8,$L$6:$L$29,Z10)</f>
        <v>0</v>
      </c>
      <c r="T17" s="24">
        <f>COUNTIFS($K$6:$K$29,Y8,$L$6:$L$29,Z9)</f>
        <v>0</v>
      </c>
      <c r="U17" s="28">
        <f>COUNTIFS($K$6:$K$29,Y8,$L$6:$L$29,Z8)</f>
        <v>1</v>
      </c>
      <c r="V17" s="29">
        <f>COUNTIFS($K$6:$K$29,Y8,$L$6:$L$29,Z7)</f>
        <v>0</v>
      </c>
    </row>
    <row r="18" spans="2:22" x14ac:dyDescent="0.25">
      <c r="B18" s="5">
        <v>13</v>
      </c>
      <c r="C18" s="54" t="s">
        <v>63</v>
      </c>
      <c r="D18" s="55"/>
      <c r="E18" s="54" t="s">
        <v>64</v>
      </c>
      <c r="F18" s="55"/>
      <c r="G18" s="54" t="s">
        <v>65</v>
      </c>
      <c r="H18" s="55"/>
      <c r="I18" s="41"/>
      <c r="J18" s="50"/>
      <c r="K18" s="8" t="s">
        <v>24</v>
      </c>
      <c r="L18" s="8" t="s">
        <v>21</v>
      </c>
      <c r="M18" s="41" t="str">
        <f t="shared" si="0"/>
        <v>ZRÓWNOWAŻONY</v>
      </c>
      <c r="N18" s="42"/>
      <c r="P18" s="39"/>
      <c r="Q18" s="18" t="str">
        <f>Y9</f>
        <v>ŚREDNIE</v>
      </c>
      <c r="R18" s="30">
        <f>COUNTIFS($K$6:$K$29,Y9,$L$6:$L$29,Z11)</f>
        <v>0</v>
      </c>
      <c r="S18" s="21">
        <f>COUNTIFS($K$6:$K$29,Y9,$L$6:$L$29,Z10)</f>
        <v>0</v>
      </c>
      <c r="T18" s="21">
        <f>COUNTIFS($K$6:$K$29,Y9,$L$6:$L$29,Z9)</f>
        <v>2</v>
      </c>
      <c r="U18" s="24">
        <f>COUNTIFS($K$6:$K$29,Y9,$L$6:$L$29,Z8)</f>
        <v>3</v>
      </c>
      <c r="V18" s="29">
        <f>COUNTIFS($K$6:$K$29,Y9,$L$6:$L$29,Z7)</f>
        <v>1</v>
      </c>
    </row>
    <row r="19" spans="2:22" ht="24.6" customHeight="1" x14ac:dyDescent="0.25">
      <c r="B19" s="5">
        <v>14</v>
      </c>
      <c r="C19" s="54" t="s">
        <v>66</v>
      </c>
      <c r="D19" s="55"/>
      <c r="E19" s="54" t="s">
        <v>67</v>
      </c>
      <c r="F19" s="55"/>
      <c r="G19" s="54" t="s">
        <v>68</v>
      </c>
      <c r="H19" s="55"/>
      <c r="I19" s="41"/>
      <c r="J19" s="50"/>
      <c r="K19" s="8" t="s">
        <v>22</v>
      </c>
      <c r="L19" s="8" t="s">
        <v>23</v>
      </c>
      <c r="M19" s="41" t="str">
        <f t="shared" si="0"/>
        <v>ZRÓWNOWAŻONY</v>
      </c>
      <c r="N19" s="42"/>
      <c r="P19" s="39"/>
      <c r="Q19" s="18" t="str">
        <f>Y10</f>
        <v>NISKIE</v>
      </c>
      <c r="R19" s="30">
        <f>COUNTIFS($K$6:$K$29,Y10,$L$6:$L$29,Z11)</f>
        <v>0</v>
      </c>
      <c r="S19" s="32">
        <f>COUNTIFS($K$6:$K$29,Y10,$L$6:$L$29,Z10)</f>
        <v>2</v>
      </c>
      <c r="T19" s="21">
        <f>COUNTIFS($K$6:$K$29,Y10,$L$6:$L$29,Z9)</f>
        <v>4</v>
      </c>
      <c r="U19" s="24">
        <f>COUNTIFS($K$6:$K$29,Y10,$L$6:$L$29,Z8)</f>
        <v>1</v>
      </c>
      <c r="V19" s="29">
        <f>COUNTIFS($K$6:$K$29,Y10,$L$6:$L$29,Z7)</f>
        <v>0</v>
      </c>
    </row>
    <row r="20" spans="2:22" ht="24.6" customHeight="1" thickBot="1" x14ac:dyDescent="0.3">
      <c r="B20" s="5">
        <v>15</v>
      </c>
      <c r="C20" s="54" t="s">
        <v>69</v>
      </c>
      <c r="D20" s="55"/>
      <c r="E20" s="54" t="s">
        <v>70</v>
      </c>
      <c r="F20" s="55"/>
      <c r="G20" s="54" t="s">
        <v>71</v>
      </c>
      <c r="H20" s="55"/>
      <c r="I20" s="41"/>
      <c r="J20" s="50"/>
      <c r="K20" s="8" t="s">
        <v>24</v>
      </c>
      <c r="L20" s="8" t="s">
        <v>23</v>
      </c>
      <c r="M20" s="41" t="str">
        <f t="shared" si="0"/>
        <v>ZRÓWNOWAŻONY</v>
      </c>
      <c r="N20" s="42"/>
      <c r="P20" s="40"/>
      <c r="Q20" s="19" t="str">
        <f>Y11</f>
        <v>BARDZO NISKIE</v>
      </c>
      <c r="R20" s="31">
        <f>COUNTIFS($K$6:$K$29,Y11,$L$6:$L$29,Z11)</f>
        <v>0</v>
      </c>
      <c r="S20" s="33">
        <f>COUNTIFS($K$6:$K$29,Y11,$L$6:$L$29,Z10)</f>
        <v>3</v>
      </c>
      <c r="T20" s="33">
        <f>COUNTIFS($K$6:$K$29,Y11,$L$6:$L$29,Z9)</f>
        <v>2</v>
      </c>
      <c r="U20" s="22">
        <f>COUNTIFS($K$6:$K$29,Y11,$L$6:$L$29,Z8)</f>
        <v>1</v>
      </c>
      <c r="V20" s="25">
        <f>COUNTIFS($K$6:$K$29,Y11,$L$6:$L$29,Z7)</f>
        <v>1</v>
      </c>
    </row>
    <row r="21" spans="2:22" x14ac:dyDescent="0.25">
      <c r="B21" s="5">
        <v>16</v>
      </c>
      <c r="C21" s="54" t="s">
        <v>72</v>
      </c>
      <c r="D21" s="55"/>
      <c r="E21" s="54" t="s">
        <v>73</v>
      </c>
      <c r="F21" s="55"/>
      <c r="G21" s="54" t="s">
        <v>74</v>
      </c>
      <c r="H21" s="55"/>
      <c r="I21" s="41"/>
      <c r="J21" s="50"/>
      <c r="K21" s="8" t="s">
        <v>20</v>
      </c>
      <c r="L21" s="8" t="s">
        <v>16</v>
      </c>
      <c r="M21" s="41" t="str">
        <f t="shared" si="0"/>
        <v>KRYTYCZNY</v>
      </c>
      <c r="N21" s="42"/>
    </row>
    <row r="22" spans="2:22" x14ac:dyDescent="0.25">
      <c r="B22" s="5">
        <v>17</v>
      </c>
      <c r="C22" s="54" t="s">
        <v>75</v>
      </c>
      <c r="D22" s="55"/>
      <c r="E22" s="54" t="s">
        <v>76</v>
      </c>
      <c r="F22" s="55"/>
      <c r="G22" s="54" t="s">
        <v>77</v>
      </c>
      <c r="H22" s="55"/>
      <c r="I22" s="41"/>
      <c r="J22" s="50"/>
      <c r="K22" s="8" t="s">
        <v>24</v>
      </c>
      <c r="L22" s="8" t="s">
        <v>16</v>
      </c>
      <c r="M22" s="41" t="str">
        <f t="shared" si="0"/>
        <v>POWAŻNY</v>
      </c>
      <c r="N22" s="42"/>
    </row>
    <row r="23" spans="2:22" x14ac:dyDescent="0.25">
      <c r="B23" s="5">
        <v>18</v>
      </c>
      <c r="C23" s="54" t="s">
        <v>78</v>
      </c>
      <c r="D23" s="55"/>
      <c r="E23" s="54" t="s">
        <v>79</v>
      </c>
      <c r="F23" s="55"/>
      <c r="G23" s="54" t="s">
        <v>80</v>
      </c>
      <c r="H23" s="55"/>
      <c r="I23" s="41"/>
      <c r="J23" s="50"/>
      <c r="K23" s="8" t="s">
        <v>24</v>
      </c>
      <c r="L23" s="8" t="s">
        <v>23</v>
      </c>
      <c r="M23" s="41" t="str">
        <f t="shared" si="0"/>
        <v>ZRÓWNOWAŻONY</v>
      </c>
      <c r="N23" s="42"/>
    </row>
    <row r="24" spans="2:22" x14ac:dyDescent="0.25">
      <c r="B24" s="5">
        <v>19</v>
      </c>
      <c r="C24" s="54" t="s">
        <v>81</v>
      </c>
      <c r="D24" s="55"/>
      <c r="E24" s="54" t="s">
        <v>82</v>
      </c>
      <c r="F24" s="55"/>
      <c r="G24" s="54" t="s">
        <v>83</v>
      </c>
      <c r="H24" s="55"/>
      <c r="I24" s="41"/>
      <c r="J24" s="50"/>
      <c r="K24" s="8" t="s">
        <v>22</v>
      </c>
      <c r="L24" s="8" t="s">
        <v>21</v>
      </c>
      <c r="M24" s="41" t="str">
        <f t="shared" si="0"/>
        <v>UMIARKOWANY</v>
      </c>
      <c r="N24" s="42"/>
    </row>
    <row r="25" spans="2:22" x14ac:dyDescent="0.25">
      <c r="B25" s="5">
        <v>20</v>
      </c>
      <c r="C25" s="54" t="s">
        <v>84</v>
      </c>
      <c r="D25" s="55"/>
      <c r="E25" s="54" t="s">
        <v>85</v>
      </c>
      <c r="F25" s="55"/>
      <c r="G25" s="54" t="s">
        <v>86</v>
      </c>
      <c r="H25" s="55"/>
      <c r="I25" s="41"/>
      <c r="J25" s="50"/>
      <c r="K25" s="8" t="s">
        <v>24</v>
      </c>
      <c r="L25" s="8" t="s">
        <v>21</v>
      </c>
      <c r="M25" s="41" t="str">
        <f t="shared" si="0"/>
        <v>ZRÓWNOWAŻONY</v>
      </c>
      <c r="N25" s="42"/>
    </row>
    <row r="26" spans="2:22" x14ac:dyDescent="0.25">
      <c r="B26" s="5">
        <v>21</v>
      </c>
      <c r="C26" s="54" t="s">
        <v>87</v>
      </c>
      <c r="D26" s="55"/>
      <c r="E26" s="54" t="s">
        <v>88</v>
      </c>
      <c r="F26" s="55"/>
      <c r="G26" s="54" t="s">
        <v>89</v>
      </c>
      <c r="H26" s="55"/>
      <c r="I26" s="41"/>
      <c r="J26" s="50"/>
      <c r="K26" s="8" t="s">
        <v>20</v>
      </c>
      <c r="L26" s="8" t="s">
        <v>19</v>
      </c>
      <c r="M26" s="41" t="str">
        <f t="shared" si="0"/>
        <v>POWAŻNY</v>
      </c>
      <c r="N26" s="42"/>
    </row>
    <row r="27" spans="2:22" x14ac:dyDescent="0.25">
      <c r="B27" s="5"/>
      <c r="C27" s="54"/>
      <c r="D27" s="55"/>
      <c r="E27" s="54"/>
      <c r="F27" s="55"/>
      <c r="G27" s="54"/>
      <c r="H27" s="55"/>
      <c r="I27" s="41"/>
      <c r="J27" s="50"/>
      <c r="K27" s="8"/>
      <c r="L27" s="8"/>
      <c r="M27" s="41"/>
      <c r="N27" s="42"/>
    </row>
    <row r="28" spans="2:22" x14ac:dyDescent="0.25">
      <c r="B28" s="5"/>
      <c r="C28" s="54"/>
      <c r="D28" s="55"/>
      <c r="E28" s="54"/>
      <c r="F28" s="55"/>
      <c r="G28" s="54"/>
      <c r="H28" s="55"/>
      <c r="I28" s="41"/>
      <c r="J28" s="50"/>
      <c r="K28" s="8"/>
      <c r="L28" s="8"/>
      <c r="M28" s="41"/>
      <c r="N28" s="42"/>
    </row>
    <row r="29" spans="2:22" ht="15.75" thickBot="1" x14ac:dyDescent="0.3">
      <c r="B29" s="6"/>
      <c r="C29" s="58"/>
      <c r="D29" s="59"/>
      <c r="E29" s="58"/>
      <c r="F29" s="59"/>
      <c r="G29" s="56"/>
      <c r="H29" s="57"/>
      <c r="I29" s="43"/>
      <c r="J29" s="45"/>
      <c r="K29" s="9"/>
      <c r="L29" s="9"/>
      <c r="M29" s="43"/>
      <c r="N29" s="44"/>
    </row>
  </sheetData>
  <mergeCells count="134">
    <mergeCell ref="C22:D22"/>
    <mergeCell ref="C11:D11"/>
    <mergeCell ref="C12:D12"/>
    <mergeCell ref="C13:D13"/>
    <mergeCell ref="C14:D14"/>
    <mergeCell ref="C15:D15"/>
    <mergeCell ref="C16:D16"/>
    <mergeCell ref="B1:N2"/>
    <mergeCell ref="C5:D5"/>
    <mergeCell ref="C6:D6"/>
    <mergeCell ref="C7:D7"/>
    <mergeCell ref="C8:D8"/>
    <mergeCell ref="C9:D9"/>
    <mergeCell ref="C10:D10"/>
    <mergeCell ref="E3:F3"/>
    <mergeCell ref="J3:K3"/>
    <mergeCell ref="G3:I3"/>
    <mergeCell ref="C3:D3"/>
    <mergeCell ref="G9:H9"/>
    <mergeCell ref="E10:F10"/>
    <mergeCell ref="G10:H10"/>
    <mergeCell ref="E13:F13"/>
    <mergeCell ref="G13:H13"/>
    <mergeCell ref="E14:F14"/>
    <mergeCell ref="C29:D29"/>
    <mergeCell ref="E5:F5"/>
    <mergeCell ref="E6:F6"/>
    <mergeCell ref="E7:F7"/>
    <mergeCell ref="E8:F8"/>
    <mergeCell ref="G5:H5"/>
    <mergeCell ref="G6:H6"/>
    <mergeCell ref="G7:H7"/>
    <mergeCell ref="G8:H8"/>
    <mergeCell ref="E9:F9"/>
    <mergeCell ref="C23:D23"/>
    <mergeCell ref="C24:D24"/>
    <mergeCell ref="C25:D25"/>
    <mergeCell ref="C26:D26"/>
    <mergeCell ref="C27:D27"/>
    <mergeCell ref="C28:D28"/>
    <mergeCell ref="C17:D17"/>
    <mergeCell ref="E19:F19"/>
    <mergeCell ref="E20:F20"/>
    <mergeCell ref="E21:F21"/>
    <mergeCell ref="C18:D18"/>
    <mergeCell ref="C19:D19"/>
    <mergeCell ref="C20:D20"/>
    <mergeCell ref="C21:D21"/>
    <mergeCell ref="G14:H14"/>
    <mergeCell ref="E15:F15"/>
    <mergeCell ref="E16:F16"/>
    <mergeCell ref="G24:H24"/>
    <mergeCell ref="G25:H25"/>
    <mergeCell ref="E11:F11"/>
    <mergeCell ref="G11:H11"/>
    <mergeCell ref="E12:F12"/>
    <mergeCell ref="G12:H12"/>
    <mergeCell ref="G26:H26"/>
    <mergeCell ref="G27:H27"/>
    <mergeCell ref="G28:H28"/>
    <mergeCell ref="G29:H29"/>
    <mergeCell ref="E29:F29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E23:F23"/>
    <mergeCell ref="E24:F24"/>
    <mergeCell ref="E25:F25"/>
    <mergeCell ref="E26:F26"/>
    <mergeCell ref="E27:F27"/>
    <mergeCell ref="E28:F28"/>
    <mergeCell ref="E17:F17"/>
    <mergeCell ref="E18:F18"/>
    <mergeCell ref="E22:F22"/>
    <mergeCell ref="I13:J13"/>
    <mergeCell ref="I14:J14"/>
    <mergeCell ref="I15:J15"/>
    <mergeCell ref="I16:J16"/>
    <mergeCell ref="I5:J5"/>
    <mergeCell ref="I6:J6"/>
    <mergeCell ref="I7:J7"/>
    <mergeCell ref="I8:J8"/>
    <mergeCell ref="I9:J9"/>
    <mergeCell ref="I10:J10"/>
    <mergeCell ref="I29:J29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I23:J23"/>
    <mergeCell ref="I24:J24"/>
    <mergeCell ref="I25:J25"/>
    <mergeCell ref="I26:J26"/>
    <mergeCell ref="I27:J27"/>
    <mergeCell ref="I28:J28"/>
    <mergeCell ref="I17:J17"/>
    <mergeCell ref="I18:J18"/>
    <mergeCell ref="I19:J19"/>
    <mergeCell ref="I20:J20"/>
    <mergeCell ref="I21:J21"/>
    <mergeCell ref="I22:J22"/>
    <mergeCell ref="I11:J11"/>
    <mergeCell ref="I12:J12"/>
    <mergeCell ref="P15:Q15"/>
    <mergeCell ref="P16:P20"/>
    <mergeCell ref="M26:N26"/>
    <mergeCell ref="M27:N27"/>
    <mergeCell ref="M28:N28"/>
    <mergeCell ref="M29:N29"/>
    <mergeCell ref="P6:Q6"/>
    <mergeCell ref="P7:P11"/>
    <mergeCell ref="M20:N20"/>
    <mergeCell ref="M21:N21"/>
    <mergeCell ref="M22:N22"/>
    <mergeCell ref="M23:N23"/>
    <mergeCell ref="M24:N24"/>
    <mergeCell ref="M25:N25"/>
    <mergeCell ref="M14:N14"/>
    <mergeCell ref="M15:N15"/>
    <mergeCell ref="M16:N16"/>
    <mergeCell ref="M17:N17"/>
    <mergeCell ref="M18:N18"/>
    <mergeCell ref="M19:N19"/>
  </mergeCells>
  <conditionalFormatting sqref="M6:N29">
    <cfRule type="containsText" dxfId="3" priority="2" operator="containsText" text="ZRÓWNOWAŻONY">
      <formula>NOT(ISERROR(SEARCH("ZRÓWNOWAŻONY",M6)))</formula>
    </cfRule>
    <cfRule type="containsText" dxfId="2" priority="3" operator="containsText" text="UMIARKOWANY">
      <formula>NOT(ISERROR(SEARCH("UMIARKOWANY",M6)))</formula>
    </cfRule>
    <cfRule type="containsText" dxfId="1" priority="4" operator="containsText" text="KRYTYCZNY">
      <formula>NOT(ISERROR(SEARCH("KRYTYCZNY",M6)))</formula>
    </cfRule>
    <cfRule type="containsText" dxfId="0" priority="5" operator="containsText" text="POWAŻNY">
      <formula>NOT(ISERROR(SEARCH("POWAŻNY",M6)))</formula>
    </cfRule>
  </conditionalFormatting>
  <dataValidations count="3">
    <dataValidation type="list" allowBlank="1" showInputMessage="1" showErrorMessage="1" sqref="K6:K29" xr:uid="{E3943764-10D0-4D1C-84D9-DF85EB23D3C7}">
      <formula1>$Y$7:$Y$11</formula1>
    </dataValidation>
    <dataValidation type="list" allowBlank="1" showInputMessage="1" showErrorMessage="1" sqref="L6:L29" xr:uid="{C46C34C8-EE17-4909-A31E-A758D00A901E}">
      <formula1>$Z$7:$Z$11</formula1>
    </dataValidation>
    <dataValidation type="list" allowBlank="1" showInputMessage="1" showErrorMessage="1" sqref="J3:K3 I6:J29" xr:uid="{8CF32CF1-6D90-4246-9BC6-91530516D457}">
      <formula1>$W$1:$W$4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9E9BDD6CA92F243AD181AC15D5D3FD6" ma:contentTypeVersion="11" ma:contentTypeDescription="Utwórz nowy dokument." ma:contentTypeScope="" ma:versionID="b591c7fac82b081118047cd5982403ce">
  <xsd:schema xmlns:xsd="http://www.w3.org/2001/XMLSchema" xmlns:xs="http://www.w3.org/2001/XMLSchema" xmlns:p="http://schemas.microsoft.com/office/2006/metadata/properties" xmlns:ns2="b06eb720-6fb7-4fcd-abe6-2d32a9fbbdb9" xmlns:ns3="c5aaa8f0-986a-4595-bc87-636c348c3f96" targetNamespace="http://schemas.microsoft.com/office/2006/metadata/properties" ma:root="true" ma:fieldsID="3de45bf4d1a8bb87204f3fcde42dadae" ns2:_="" ns3:_="">
    <xsd:import namespace="b06eb720-6fb7-4fcd-abe6-2d32a9fbbdb9"/>
    <xsd:import namespace="c5aaa8f0-986a-4595-bc87-636c348c3f9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b720-6fb7-4fcd-abe6-2d32a9fbbdb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i obrazów" ma:readOnly="false" ma:fieldId="{5cf76f15-5ced-4ddc-b409-7134ff3c332f}" ma:taxonomyMulti="true" ma:sspId="55f58b37-a4ca-4b9d-8340-d45abefa1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aa8f0-986a-4595-bc87-636c348c3f9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2fa490-2f6d-4268-8734-3b49669ddf8e}" ma:internalName="TaxCatchAll" ma:showField="CatchAllData" ma:web="c5aaa8f0-986a-4595-bc87-636c348c3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CE7669-D30C-4088-B3B7-BB2FC72CF7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CFF291-A640-4510-AF8E-863375481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eb720-6fb7-4fcd-abe6-2d32a9fbbdb9"/>
    <ds:schemaRef ds:uri="c5aaa8f0-986a-4595-bc87-636c348c3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Mateusz Pruchnik</dc:creator>
  <cp:keywords/>
  <dc:description/>
  <cp:lastModifiedBy>Paweł Mazur (188950)</cp:lastModifiedBy>
  <cp:revision/>
  <dcterms:created xsi:type="dcterms:W3CDTF">2024-04-21T19:36:52Z</dcterms:created>
  <dcterms:modified xsi:type="dcterms:W3CDTF">2025-12-04T14:27:04Z</dcterms:modified>
  <cp:category/>
  <cp:contentStatus/>
</cp:coreProperties>
</file>