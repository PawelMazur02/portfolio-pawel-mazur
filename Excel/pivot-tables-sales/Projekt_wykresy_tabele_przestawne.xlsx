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pivotTables/pivotTable5.xml" ContentType="application/vnd.openxmlformats-officedocument.spreadsheetml.pivotTab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slicers/slicer2.xml" ContentType="application/vnd.ms-excel.slicer+xml"/>
  <Override PartName="/xl/pivotTables/pivotTable6.xml" ContentType="application/vnd.openxmlformats-officedocument.spreadsheetml.pivot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azur\Desktop\STUDIA\LICENCJAT\1 SEMESTR\"/>
    </mc:Choice>
  </mc:AlternateContent>
  <xr:revisionPtr revIDLastSave="0" documentId="13_ncr:1_{F173C34C-A0C6-4D8D-903F-E727D9F717B8}" xr6:coauthVersionLast="47" xr6:coauthVersionMax="47" xr10:uidLastSave="{00000000-0000-0000-0000-000000000000}"/>
  <bookViews>
    <workbookView xWindow="-120" yWindow="-120" windowWidth="29040" windowHeight="15720" tabRatio="690" activeTab="2" xr2:uid="{00000000-000D-0000-FFFF-FFFF00000000}"/>
  </bookViews>
  <sheets>
    <sheet name="Zad. 1" sheetId="1" r:id="rId1"/>
    <sheet name="Zad. 2" sheetId="2" r:id="rId2"/>
    <sheet name="Zad. 3" sheetId="5" r:id="rId3"/>
  </sheets>
  <definedNames>
    <definedName name="_xlnm._FilterDatabase" localSheetId="2" hidden="1">'Zad. 3'!$D$1:$D$56</definedName>
    <definedName name="Fragmentator_Miasto">#N/A</definedName>
    <definedName name="Fragmentator_Sprzedawca">#N/A</definedName>
  </definedNames>
  <calcPr calcId="191029"/>
  <pivotCaches>
    <pivotCache cacheId="0" r:id="rId4"/>
    <pivotCache cacheId="1" r:id="rId5"/>
    <pivotCache cacheId="2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9" i="5" l="1"/>
  <c r="J27" i="5"/>
  <c r="J9" i="5"/>
  <c r="I3" i="5"/>
  <c r="I37" i="5"/>
  <c r="I48" i="5"/>
  <c r="I49" i="5"/>
  <c r="I39" i="5"/>
  <c r="I27" i="5"/>
  <c r="I9" i="5"/>
  <c r="I28" i="5"/>
  <c r="I32" i="5"/>
  <c r="I33" i="5"/>
  <c r="I17" i="5"/>
  <c r="I34" i="5"/>
  <c r="I56" i="5"/>
  <c r="I45" i="5"/>
  <c r="G23" i="5"/>
  <c r="G2" i="5"/>
  <c r="I2" i="5" s="1"/>
  <c r="G46" i="5"/>
  <c r="I46" i="5" s="1"/>
  <c r="G36" i="5"/>
  <c r="I36" i="5" s="1"/>
  <c r="G47" i="5"/>
  <c r="I47" i="5" s="1"/>
  <c r="J47" i="5" s="1"/>
  <c r="G3" i="5"/>
  <c r="G37" i="5"/>
  <c r="J37" i="5" s="1"/>
  <c r="G48" i="5"/>
  <c r="J48" i="5" s="1"/>
  <c r="G49" i="5"/>
  <c r="G4" i="5"/>
  <c r="I4" i="5" s="1"/>
  <c r="G50" i="5"/>
  <c r="I50" i="5" s="1"/>
  <c r="G51" i="5"/>
  <c r="I51" i="5" s="1"/>
  <c r="G5" i="5"/>
  <c r="I5" i="5" s="1"/>
  <c r="J5" i="5" s="1"/>
  <c r="G6" i="5"/>
  <c r="I6" i="5" s="1"/>
  <c r="G7" i="5"/>
  <c r="I7" i="5" s="1"/>
  <c r="G24" i="5"/>
  <c r="I24" i="5" s="1"/>
  <c r="G25" i="5"/>
  <c r="G52" i="5"/>
  <c r="I52" i="5" s="1"/>
  <c r="G38" i="5"/>
  <c r="I38" i="5" s="1"/>
  <c r="G8" i="5"/>
  <c r="I8" i="5" s="1"/>
  <c r="G26" i="5"/>
  <c r="I26" i="5" s="1"/>
  <c r="J26" i="5" s="1"/>
  <c r="G39" i="5"/>
  <c r="G27" i="5"/>
  <c r="G9" i="5"/>
  <c r="G28" i="5"/>
  <c r="G29" i="5"/>
  <c r="I29" i="5" s="1"/>
  <c r="G40" i="5"/>
  <c r="I40" i="5" s="1"/>
  <c r="G10" i="5"/>
  <c r="I10" i="5" s="1"/>
  <c r="G11" i="5"/>
  <c r="I11" i="5" s="1"/>
  <c r="J11" i="5" s="1"/>
  <c r="G30" i="5"/>
  <c r="G12" i="5"/>
  <c r="G13" i="5"/>
  <c r="I13" i="5" s="1"/>
  <c r="G14" i="5"/>
  <c r="G41" i="5"/>
  <c r="I41" i="5" s="1"/>
  <c r="G15" i="5"/>
  <c r="I15" i="5" s="1"/>
  <c r="G31" i="5"/>
  <c r="I31" i="5" s="1"/>
  <c r="G16" i="5"/>
  <c r="I16" i="5" s="1"/>
  <c r="J16" i="5" s="1"/>
  <c r="G32" i="5"/>
  <c r="J32" i="5" s="1"/>
  <c r="G33" i="5"/>
  <c r="J33" i="5" s="1"/>
  <c r="G17" i="5"/>
  <c r="J17" i="5" s="1"/>
  <c r="G34" i="5"/>
  <c r="G18" i="5"/>
  <c r="I18" i="5" s="1"/>
  <c r="G42" i="5"/>
  <c r="I42" i="5" s="1"/>
  <c r="G53" i="5"/>
  <c r="I53" i="5" s="1"/>
  <c r="G43" i="5"/>
  <c r="I43" i="5" s="1"/>
  <c r="J43" i="5" s="1"/>
  <c r="G19" i="5"/>
  <c r="I19" i="5" s="1"/>
  <c r="J19" i="5" s="1"/>
  <c r="G35" i="5"/>
  <c r="I35" i="5" s="1"/>
  <c r="J35" i="5" s="1"/>
  <c r="G20" i="5"/>
  <c r="G44" i="5"/>
  <c r="G21" i="5"/>
  <c r="I21" i="5" s="1"/>
  <c r="G22" i="5"/>
  <c r="I22" i="5" s="1"/>
  <c r="G54" i="5"/>
  <c r="I54" i="5" s="1"/>
  <c r="G55" i="5"/>
  <c r="I55" i="5" s="1"/>
  <c r="J55" i="5" s="1"/>
  <c r="G56" i="5"/>
  <c r="J56" i="5" s="1"/>
  <c r="G45" i="5"/>
  <c r="J45" i="5" s="1"/>
  <c r="J44" i="5" l="1"/>
  <c r="J14" i="5"/>
  <c r="J25" i="5"/>
  <c r="J23" i="5"/>
  <c r="J24" i="5"/>
  <c r="I44" i="5"/>
  <c r="I25" i="5"/>
  <c r="J7" i="5"/>
  <c r="J13" i="5"/>
  <c r="J6" i="5"/>
  <c r="I12" i="5"/>
  <c r="J12" i="5" s="1"/>
  <c r="J34" i="5"/>
  <c r="J28" i="5"/>
  <c r="J49" i="5"/>
  <c r="J3" i="5"/>
  <c r="I14" i="5"/>
  <c r="I23" i="5"/>
  <c r="I20" i="5"/>
  <c r="J20" i="5" s="1"/>
  <c r="I30" i="5"/>
  <c r="J30" i="5" s="1"/>
  <c r="J54" i="5"/>
  <c r="J53" i="5"/>
  <c r="J31" i="5"/>
  <c r="J10" i="5"/>
  <c r="J8" i="5"/>
  <c r="J51" i="5"/>
  <c r="J36" i="5"/>
  <c r="J22" i="5"/>
  <c r="J42" i="5"/>
  <c r="J15" i="5"/>
  <c r="J40" i="5"/>
  <c r="J38" i="5"/>
  <c r="J50" i="5"/>
  <c r="J46" i="5"/>
  <c r="J21" i="5"/>
  <c r="J18" i="5"/>
  <c r="J41" i="5"/>
  <c r="J29" i="5"/>
  <c r="J52" i="5"/>
  <c r="J4" i="5"/>
  <c r="J2" i="5"/>
</calcChain>
</file>

<file path=xl/sharedStrings.xml><?xml version="1.0" encoding="utf-8"?>
<sst xmlns="http://schemas.openxmlformats.org/spreadsheetml/2006/main" count="343" uniqueCount="79">
  <si>
    <t>Miesiąc</t>
  </si>
  <si>
    <t>Model samochodu</t>
  </si>
  <si>
    <t>Liczba sprzedanych samochodów</t>
  </si>
  <si>
    <t>Wartość sprzedaży</t>
  </si>
  <si>
    <t>Sprzedawca</t>
  </si>
  <si>
    <t>Miasto</t>
  </si>
  <si>
    <t>Styczeń</t>
  </si>
  <si>
    <t>Subaru Forester</t>
  </si>
  <si>
    <t>Adam Kowalski</t>
  </si>
  <si>
    <t>Wrocław</t>
  </si>
  <si>
    <t>Subaru Levorg</t>
  </si>
  <si>
    <t>Ola Nowak</t>
  </si>
  <si>
    <t>Jelenia Góra</t>
  </si>
  <si>
    <t>Subaru XV</t>
  </si>
  <si>
    <t>Łukasz Paprotny</t>
  </si>
  <si>
    <t>Dzierżoniów</t>
  </si>
  <si>
    <t>Subaru Outback</t>
  </si>
  <si>
    <t>Andrzej Wieczorek</t>
  </si>
  <si>
    <t>Zielona Góra</t>
  </si>
  <si>
    <t>Luty</t>
  </si>
  <si>
    <t>Marta Kowalska</t>
  </si>
  <si>
    <t>Alicja Pogodna</t>
  </si>
  <si>
    <t>Marzec</t>
  </si>
  <si>
    <t>Lp</t>
  </si>
  <si>
    <t>Klient/firma</t>
  </si>
  <si>
    <t>Artykuł</t>
  </si>
  <si>
    <t>Ilość sztuk</t>
  </si>
  <si>
    <t>UE</t>
  </si>
  <si>
    <t>Drukarka</t>
  </si>
  <si>
    <t>Consulting</t>
  </si>
  <si>
    <t>Laptop</t>
  </si>
  <si>
    <t>Świdnica</t>
  </si>
  <si>
    <t>Hotel Bis</t>
  </si>
  <si>
    <t>Telewizor</t>
  </si>
  <si>
    <t>Kino za rogiem</t>
  </si>
  <si>
    <t>Rzutnik</t>
  </si>
  <si>
    <t>Wałbrzych</t>
  </si>
  <si>
    <t>Pensjonat pod różą</t>
  </si>
  <si>
    <t>Marta Chyża</t>
  </si>
  <si>
    <t>Szkolenia Plus</t>
  </si>
  <si>
    <t>Drukarnia</t>
  </si>
  <si>
    <t>Data zamówienia</t>
  </si>
  <si>
    <t>Handlowiec</t>
  </si>
  <si>
    <t>Produkt</t>
  </si>
  <si>
    <t>Ilość</t>
  </si>
  <si>
    <t>Cena jednostkowa</t>
  </si>
  <si>
    <t>Rabat</t>
  </si>
  <si>
    <t>Wartość rabatu</t>
  </si>
  <si>
    <t>Wartość sprzedaży po rabacie</t>
  </si>
  <si>
    <t>Lewandowska</t>
  </si>
  <si>
    <t>Zszywacz</t>
  </si>
  <si>
    <t>Legnica</t>
  </si>
  <si>
    <t>Szymańska</t>
  </si>
  <si>
    <t>Zakreślacz</t>
  </si>
  <si>
    <t>Woźniak</t>
  </si>
  <si>
    <t>Długopis</t>
  </si>
  <si>
    <t>Zielińska</t>
  </si>
  <si>
    <t>Papier A4</t>
  </si>
  <si>
    <t>Wiśniewska</t>
  </si>
  <si>
    <t>Dziurkacz</t>
  </si>
  <si>
    <t>Gilotyna do papieru</t>
  </si>
  <si>
    <t>Dąbrowska</t>
  </si>
  <si>
    <t>Ołówek</t>
  </si>
  <si>
    <t>Teczka A4</t>
  </si>
  <si>
    <t>Kamińska</t>
  </si>
  <si>
    <t>Nowak</t>
  </si>
  <si>
    <t>Kowalczyk</t>
  </si>
  <si>
    <t>Kowalski</t>
  </si>
  <si>
    <t>Wójcik</t>
  </si>
  <si>
    <t>Marker</t>
  </si>
  <si>
    <t>Etykiety wierszy</t>
  </si>
  <si>
    <t>Suma końcowa</t>
  </si>
  <si>
    <t>Suma z Wartość sprzedaży</t>
  </si>
  <si>
    <t>Suma z Liczba sprzedanych samochodów</t>
  </si>
  <si>
    <t>Suma z Wartość sprzedaży2</t>
  </si>
  <si>
    <t>Suma z Prowizja</t>
  </si>
  <si>
    <t>Suma z Ilość sztuk</t>
  </si>
  <si>
    <t>Suma z Wartość rabatu</t>
  </si>
  <si>
    <t>Suma z Wartość sprzedaży po rabacie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</si>
</sst>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* #,##0.00\ &quot;zł&quot;_-;\-* #,##0.00\ &quot;zł&quot;_-;_-* &quot;-&quot;??\ &quot;zł&quot;_-;_-@_-"/>
    <numFmt numFmtId="164" formatCode="#,##0\ &quot;zł&quot;"/>
    <numFmt numFmtId="165" formatCode="#,##0.00\ &quot;zł&quot;"/>
    <numFmt numFmtId="166" formatCode="yyyy\-mm\-dd;@"/>
    <numFmt numFmtId="167" formatCode="_-* #,##0.00\ [$zł-415]_-;\-* #,##0.00\ [$zł-415]_-;_-* &quot;-&quot;??\ [$zł-415]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2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 applyProtection="1">
      <alignment horizontal="center" vertical="center"/>
      <protection locked="0"/>
    </xf>
    <xf numFmtId="0" fontId="0" fillId="0" borderId="0" xfId="0" applyAlignment="1">
      <alignment horizontal="right"/>
    </xf>
    <xf numFmtId="0" fontId="2" fillId="2" borderId="0" xfId="0" applyFont="1" applyFill="1" applyAlignment="1" applyProtection="1">
      <alignment horizontal="right" vertical="center"/>
      <protection locked="0"/>
    </xf>
    <xf numFmtId="0" fontId="2" fillId="2" borderId="0" xfId="0" applyFont="1" applyFill="1" applyAlignment="1" applyProtection="1">
      <alignment horizontal="right" vertical="center" wrapText="1"/>
      <protection locked="0"/>
    </xf>
    <xf numFmtId="9" fontId="0" fillId="0" borderId="0" xfId="0" applyNumberFormat="1" applyAlignment="1">
      <alignment horizontal="right"/>
    </xf>
    <xf numFmtId="166" fontId="1" fillId="0" borderId="0" xfId="0" quotePrefix="1" applyNumberFormat="1" applyFont="1" applyAlignment="1" applyProtection="1">
      <alignment horizontal="right"/>
      <protection locked="0"/>
    </xf>
    <xf numFmtId="164" fontId="1" fillId="0" borderId="0" xfId="1" applyNumberFormat="1" applyFont="1" applyBorder="1" applyAlignment="1" applyProtection="1">
      <alignment horizontal="right" vertical="center"/>
      <protection locked="0"/>
    </xf>
    <xf numFmtId="3" fontId="1" fillId="0" borderId="0" xfId="1" applyNumberFormat="1" applyFont="1" applyBorder="1" applyAlignment="1" applyProtection="1">
      <alignment horizontal="right" vertical="center"/>
      <protection locked="0"/>
    </xf>
    <xf numFmtId="165" fontId="1" fillId="0" borderId="0" xfId="1" applyNumberFormat="1" applyFont="1" applyBorder="1" applyAlignment="1" applyProtection="1">
      <alignment horizontal="right" vertical="center"/>
      <protection locked="0"/>
    </xf>
    <xf numFmtId="9" fontId="1" fillId="0" borderId="0" xfId="0" applyNumberFormat="1" applyFont="1" applyAlignment="1">
      <alignment horizontal="right"/>
    </xf>
    <xf numFmtId="165" fontId="1" fillId="0" borderId="0" xfId="0" applyNumberFormat="1" applyFont="1" applyAlignment="1">
      <alignment horizontal="right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5" fontId="0" fillId="0" borderId="0" xfId="0" applyNumberFormat="1"/>
    <xf numFmtId="10" fontId="0" fillId="0" borderId="0" xfId="0" applyNumberFormat="1"/>
    <xf numFmtId="167" fontId="0" fillId="0" borderId="0" xfId="0" applyNumberFormat="1"/>
    <xf numFmtId="165" fontId="0" fillId="0" borderId="0" xfId="0" pivotButton="1" applyNumberFormat="1"/>
    <xf numFmtId="165" fontId="0" fillId="0" borderId="0" xfId="0" applyNumberFormat="1" applyAlignment="1">
      <alignment horizontal="left"/>
    </xf>
    <xf numFmtId="0" fontId="0" fillId="0" borderId="0" xfId="0" applyNumberFormat="1"/>
  </cellXfs>
  <cellStyles count="2">
    <cellStyle name="Normalny" xfId="0" builtinId="0"/>
    <cellStyle name="Walutowy" xfId="1" builtinId="4"/>
  </cellStyles>
  <dxfs count="2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65" formatCode="#,##0.00\ &quot;zł&quot;"/>
      <alignment horizontal="righ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65" formatCode="#,##0.00\ &quot;zł&quot;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3" formatCode="0%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65" formatCode="#,##0.00\ &quot;zł&quot;"/>
      <alignment horizontal="righ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65" formatCode="#,##0.00\ &quot;zł&quot;"/>
      <alignment horizontal="righ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3" formatCode="#,##0"/>
      <alignment horizontal="righ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64" formatCode="#,##0\ &quot;zł&quot;"/>
      <alignment horizontal="righ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64" formatCode="#,##0\ &quot;zł&quot;"/>
      <alignment horizontal="righ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64" formatCode="#,##0\ &quot;zł&quot;"/>
      <alignment horizontal="righ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66" formatCode="yyyy\-mm\-dd;@"/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alignment horizontal="right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238"/>
        <scheme val="minor"/>
      </font>
      <fill>
        <patternFill patternType="solid">
          <fgColor indexed="64"/>
          <bgColor theme="4" tint="-0.499984740745262"/>
        </patternFill>
      </fill>
      <alignment horizontal="right" vertical="center" textRotation="0" wrapText="0" indent="0" justifyLastLine="0" shrinkToFit="0" readingOrder="0"/>
      <protection locked="0" hidden="0"/>
    </dxf>
    <dxf>
      <numFmt numFmtId="165" formatCode="#,##0.00\ &quot;zł&quot;"/>
    </dxf>
    <dxf>
      <numFmt numFmtId="165" formatCode="#,##0.00\ &quot;zł&quot;"/>
    </dxf>
    <dxf>
      <numFmt numFmtId="165" formatCode="#,##0.00\ &quot;zł&quot;"/>
    </dxf>
    <dxf>
      <numFmt numFmtId="165" formatCode="#,##0.00\ &quot;zł&quot;"/>
    </dxf>
    <dxf>
      <numFmt numFmtId="165" formatCode="#,##0.00\ &quot;zł&quot;"/>
    </dxf>
    <dxf>
      <numFmt numFmtId="165" formatCode="#,##0.00\ &quot;zł&quot;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238"/>
        <scheme val="minor"/>
      </font>
      <fill>
        <patternFill patternType="solid">
          <fgColor indexed="64"/>
          <bgColor theme="4" tint="-0.499984740745262"/>
        </patternFill>
      </fill>
      <alignment horizontal="center" vertical="center" textRotation="0" wrapText="0" indent="0" justifyLastLine="0" shrinkToFit="0" readingOrder="0"/>
    </dxf>
    <dxf>
      <numFmt numFmtId="165" formatCode="#,##0.00\ &quot;zł&quot;"/>
    </dxf>
    <dxf>
      <numFmt numFmtId="14" formatCode="0.00%"/>
    </dxf>
    <dxf>
      <numFmt numFmtId="167" formatCode="_-* #,##0.00\ [$zł-415]_-;\-* #,##0.00\ [$zł-415]_-;_-* &quot;-&quot;??\ [$zł-415]_-;_-@_-"/>
    </dxf>
    <dxf>
      <numFmt numFmtId="165" formatCode="#,##0.00\ &quot;zł&quot;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2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pivotCacheDefinition" Target="pivotCache/pivotCacheDefinition1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171450</xdr:colOff>
      <xdr:row>0</xdr:row>
      <xdr:rowOff>19051</xdr:rowOff>
    </xdr:from>
    <xdr:to>
      <xdr:col>10</xdr:col>
      <xdr:colOff>981075</xdr:colOff>
      <xdr:row>7</xdr:row>
      <xdr:rowOff>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Sprzedawca">
              <a:extLst>
                <a:ext uri="{FF2B5EF4-FFF2-40B4-BE49-F238E27FC236}">
                  <a16:creationId xmlns:a16="http://schemas.microsoft.com/office/drawing/2014/main" id="{08E4113C-D3ED-46DC-80AE-951D4E660B3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przedawc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029950" y="19051"/>
              <a:ext cx="1828800" cy="14478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l-PL" sz="1100"/>
                <a:t>Ten kształt odzwierciedla fragmentator. Fragmentatory są obsługiwane w programie Excel 2010 i nowszych wersjach.
Jeśli kształt został zmodyfikowany w starszej wersji programu Excel lub jeśli skoroszyt został zapisany w programie Excel 2003 albo starszej wersji, korzystanie z fragmentatora jest niemożliwe.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485775</xdr:colOff>
      <xdr:row>0</xdr:row>
      <xdr:rowOff>28575</xdr:rowOff>
    </xdr:from>
    <xdr:to>
      <xdr:col>10</xdr:col>
      <xdr:colOff>590550</xdr:colOff>
      <xdr:row>12</xdr:row>
      <xdr:rowOff>161925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Miasto">
              <a:extLst>
                <a:ext uri="{FF2B5EF4-FFF2-40B4-BE49-F238E27FC236}">
                  <a16:creationId xmlns:a16="http://schemas.microsoft.com/office/drawing/2014/main" id="{C85A94EB-5BFB-46B9-AF2A-B67A96EB63B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iast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858125" y="28575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l-PL" sz="1100"/>
                <a:t>Ten kształt odzwierciedla fragmentator. Fragmentatory są obsługiwane w programie Excel 2010 i nowszych wersjach.
Jeśli kształt został zmodyfikowany w starszej wersji programu Excel lub jeśli skoroszyt został zapisany w programie Excel 2003 albo starszej wersji, korzystanie z fragmentatora jest niemożliwe.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weł Mazur (188950)" refreshedDate="44899.579676967594" createdVersion="6" refreshedVersion="6" minRefreshableVersion="3" recordCount="16" xr:uid="{B37B6C7A-963F-4A02-8139-E6D07AEB643F}">
  <cacheSource type="worksheet">
    <worksheetSource ref="A1:F17" sheet="Zad. 1"/>
  </cacheSource>
  <cacheFields count="7">
    <cacheField name="Miesiąc" numFmtId="0">
      <sharedItems count="3">
        <s v="Styczeń"/>
        <s v="Luty"/>
        <s v="Marzec"/>
      </sharedItems>
    </cacheField>
    <cacheField name="Model samochodu" numFmtId="0">
      <sharedItems count="4">
        <s v="Subaru Forester"/>
        <s v="Subaru Levorg"/>
        <s v="Subaru XV"/>
        <s v="Subaru Outback"/>
      </sharedItems>
    </cacheField>
    <cacheField name="Liczba sprzedanych samochodów" numFmtId="0">
      <sharedItems containsSemiMixedTypes="0" containsString="0" containsNumber="1" containsInteger="1" minValue="1" maxValue="7"/>
    </cacheField>
    <cacheField name="Wartość sprzedaży" numFmtId="0">
      <sharedItems containsSemiMixedTypes="0" containsString="0" containsNumber="1" containsInteger="1" minValue="97000" maxValue="750000" count="15">
        <n v="700000"/>
        <n v="480000"/>
        <n v="590000"/>
        <n v="97000"/>
        <n v="510000"/>
        <n v="185000"/>
        <n v="690000"/>
        <n v="710000"/>
        <n v="380000"/>
        <n v="250000"/>
        <n v="550000"/>
        <n v="750000"/>
        <n v="400000"/>
        <n v="270000"/>
        <n v="408000"/>
      </sharedItems>
    </cacheField>
    <cacheField name="Sprzedawca" numFmtId="0">
      <sharedItems count="6">
        <s v="Adam Kowalski"/>
        <s v="Ola Nowak"/>
        <s v="Łukasz Paprotny"/>
        <s v="Andrzej Wieczorek"/>
        <s v="Marta Kowalska"/>
        <s v="Alicja Pogodna"/>
      </sharedItems>
    </cacheField>
    <cacheField name="Miasto" numFmtId="0">
      <sharedItems count="4">
        <s v="Wrocław"/>
        <s v="Jelenia Góra"/>
        <s v="Dzierżoniów"/>
        <s v="Zielona Góra"/>
      </sharedItems>
    </cacheField>
    <cacheField name="Prowizja" numFmtId="0" formula="'Wartość sprzedaży'*0.1%" databaseField="0"/>
  </cacheFields>
  <extLst>
    <ext xmlns:x14="http://schemas.microsoft.com/office/spreadsheetml/2009/9/main" uri="{725AE2AE-9491-48be-B2B4-4EB974FC3084}">
      <x14:pivotCacheDefinition pivotCacheId="158224822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weł Mazur (188950)" refreshedDate="44899.604524074071" createdVersion="6" refreshedVersion="6" minRefreshableVersion="3" recordCount="9" xr:uid="{7879B797-1FDC-4AF7-BD7A-874D7DDFD461}">
  <cacheSource type="worksheet">
    <worksheetSource name="Tabela1"/>
  </cacheSource>
  <cacheFields count="5">
    <cacheField name="Lp" numFmtId="0">
      <sharedItems containsSemiMixedTypes="0" containsString="0" containsNumber="1" containsInteger="1" minValue="1" maxValue="9"/>
    </cacheField>
    <cacheField name="Klient/firma" numFmtId="0">
      <sharedItems/>
    </cacheField>
    <cacheField name="Artykuł" numFmtId="0">
      <sharedItems count="4">
        <s v="Drukarka"/>
        <s v="Laptop"/>
        <s v="Telewizor"/>
        <s v="Rzutnik"/>
      </sharedItems>
    </cacheField>
    <cacheField name="Ilość sztuk" numFmtId="0">
      <sharedItems containsSemiMixedTypes="0" containsString="0" containsNumber="1" containsInteger="1" minValue="1" maxValue="100"/>
    </cacheField>
    <cacheField name="Miasto" numFmtId="0">
      <sharedItems count="3">
        <s v="Wrocław"/>
        <s v="Świdnica"/>
        <s v="Wałbrzych"/>
      </sharedItems>
    </cacheField>
  </cacheFields>
  <extLst>
    <ext xmlns:x14="http://schemas.microsoft.com/office/spreadsheetml/2009/9/main" uri="{725AE2AE-9491-48be-B2B4-4EB974FC3084}">
      <x14:pivotCacheDefinition pivotCacheId="1791499754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weł Mazur (188950)" refreshedDate="44899.607738310187" createdVersion="6" refreshedVersion="6" minRefreshableVersion="3" recordCount="55" xr:uid="{78A5F7C6-E263-4B76-A57B-F5948898B2E4}">
  <cacheSource type="worksheet">
    <worksheetSource name="Tabela2"/>
  </cacheSource>
  <cacheFields count="10">
    <cacheField name="Data zamówienia" numFmtId="166">
      <sharedItems containsSemiMixedTypes="0" containsNonDate="0" containsDate="1" containsString="0" minDate="2020-01-05T00:00:00" maxDate="2020-12-22T00:00:00"/>
    </cacheField>
    <cacheField name="Miasto" numFmtId="164">
      <sharedItems/>
    </cacheField>
    <cacheField name="Handlowiec" numFmtId="164">
      <sharedItems/>
    </cacheField>
    <cacheField name="Produkt" numFmtId="164">
      <sharedItems count="9">
        <s v="Zszywacz"/>
        <s v="Zakreślacz"/>
        <s v="Długopis"/>
        <s v="Papier A4"/>
        <s v="Dziurkacz"/>
        <s v="Gilotyna do papieru"/>
        <s v="Ołówek"/>
        <s v="Teczka A4"/>
        <s v="Marker"/>
      </sharedItems>
    </cacheField>
    <cacheField name="Ilość" numFmtId="3">
      <sharedItems containsSemiMixedTypes="0" containsString="0" containsNumber="1" containsInteger="1" minValue="1" maxValue="60"/>
    </cacheField>
    <cacheField name="Cena jednostkowa" numFmtId="165">
      <sharedItems containsSemiMixedTypes="0" containsString="0" containsNumber="1" minValue="1.29" maxValue="125.6"/>
    </cacheField>
    <cacheField name="Wartość sprzedaży" numFmtId="165">
      <sharedItems containsSemiMixedTypes="0" containsString="0" containsNumber="1" minValue="6.45" maxValue="1375"/>
    </cacheField>
    <cacheField name="Rabat" numFmtId="9">
      <sharedItems containsSemiMixedTypes="0" containsString="0" containsNumber="1" minValue="0" maxValue="0.1"/>
    </cacheField>
    <cacheField name="Wartość rabatu" numFmtId="165">
      <sharedItems containsSemiMixedTypes="0" containsString="0" containsNumber="1" minValue="0" maxValue="56.25"/>
    </cacheField>
    <cacheField name="Wartość sprzedaży po rabacie" numFmtId="165">
      <sharedItems containsSemiMixedTypes="0" containsString="0" containsNumber="1" minValue="6.1275000000000004" maxValue="137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x v="0"/>
    <x v="0"/>
    <n v="5"/>
    <x v="0"/>
    <x v="0"/>
    <x v="0"/>
  </r>
  <r>
    <x v="0"/>
    <x v="1"/>
    <n v="4"/>
    <x v="1"/>
    <x v="1"/>
    <x v="1"/>
  </r>
  <r>
    <x v="0"/>
    <x v="2"/>
    <n v="6"/>
    <x v="2"/>
    <x v="2"/>
    <x v="2"/>
  </r>
  <r>
    <x v="0"/>
    <x v="3"/>
    <n v="1"/>
    <x v="3"/>
    <x v="3"/>
    <x v="3"/>
  </r>
  <r>
    <x v="1"/>
    <x v="0"/>
    <n v="4"/>
    <x v="4"/>
    <x v="4"/>
    <x v="0"/>
  </r>
  <r>
    <x v="1"/>
    <x v="2"/>
    <n v="2"/>
    <x v="5"/>
    <x v="2"/>
    <x v="2"/>
  </r>
  <r>
    <x v="1"/>
    <x v="2"/>
    <n v="7"/>
    <x v="6"/>
    <x v="4"/>
    <x v="0"/>
  </r>
  <r>
    <x v="1"/>
    <x v="1"/>
    <n v="6"/>
    <x v="7"/>
    <x v="5"/>
    <x v="1"/>
  </r>
  <r>
    <x v="1"/>
    <x v="0"/>
    <n v="2"/>
    <x v="8"/>
    <x v="1"/>
    <x v="1"/>
  </r>
  <r>
    <x v="1"/>
    <x v="3"/>
    <n v="2"/>
    <x v="9"/>
    <x v="3"/>
    <x v="3"/>
  </r>
  <r>
    <x v="2"/>
    <x v="1"/>
    <n v="5"/>
    <x v="10"/>
    <x v="0"/>
    <x v="0"/>
  </r>
  <r>
    <x v="2"/>
    <x v="2"/>
    <n v="2"/>
    <x v="9"/>
    <x v="4"/>
    <x v="0"/>
  </r>
  <r>
    <x v="2"/>
    <x v="2"/>
    <n v="6"/>
    <x v="11"/>
    <x v="1"/>
    <x v="1"/>
  </r>
  <r>
    <x v="2"/>
    <x v="0"/>
    <n v="4"/>
    <x v="12"/>
    <x v="3"/>
    <x v="3"/>
  </r>
  <r>
    <x v="2"/>
    <x v="0"/>
    <n v="2"/>
    <x v="13"/>
    <x v="5"/>
    <x v="1"/>
  </r>
  <r>
    <x v="2"/>
    <x v="3"/>
    <n v="3"/>
    <x v="14"/>
    <x v="3"/>
    <x v="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n v="1"/>
    <s v="UE"/>
    <x v="0"/>
    <n v="100"/>
    <x v="0"/>
  </r>
  <r>
    <n v="2"/>
    <s v="Consulting"/>
    <x v="1"/>
    <n v="20"/>
    <x v="1"/>
  </r>
  <r>
    <n v="3"/>
    <s v="Hotel Bis"/>
    <x v="2"/>
    <n v="50"/>
    <x v="0"/>
  </r>
  <r>
    <n v="4"/>
    <s v="Kino za rogiem"/>
    <x v="3"/>
    <n v="10"/>
    <x v="2"/>
  </r>
  <r>
    <n v="5"/>
    <s v="Pensjonat pod różą"/>
    <x v="2"/>
    <n v="50"/>
    <x v="1"/>
  </r>
  <r>
    <n v="6"/>
    <s v="Adam Kowalski"/>
    <x v="2"/>
    <n v="1"/>
    <x v="2"/>
  </r>
  <r>
    <n v="7"/>
    <s v="Marta Chyża"/>
    <x v="1"/>
    <n v="1"/>
    <x v="0"/>
  </r>
  <r>
    <n v="8"/>
    <s v="Szkolenia Plus"/>
    <x v="3"/>
    <n v="5"/>
    <x v="1"/>
  </r>
  <r>
    <n v="9"/>
    <s v="Drukarnia"/>
    <x v="0"/>
    <n v="3"/>
    <x v="2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5">
  <r>
    <d v="2020-01-12T00:00:00"/>
    <s v="Wrocław"/>
    <s v="Lewandowska"/>
    <x v="0"/>
    <n v="3"/>
    <n v="17.8"/>
    <n v="53.400000000000006"/>
    <n v="0"/>
    <n v="0"/>
    <n v="53.400000000000006"/>
  </r>
  <r>
    <d v="2020-01-22T00:00:00"/>
    <s v="Legnica"/>
    <s v="Szymańska"/>
    <x v="1"/>
    <n v="10"/>
    <n v="12.49"/>
    <n v="124.9"/>
    <n v="0.1"/>
    <n v="12.490000000000002"/>
    <n v="112.41"/>
  </r>
  <r>
    <d v="2020-01-15T00:00:00"/>
    <s v="Jelenia Góra"/>
    <s v="Woźniak"/>
    <x v="2"/>
    <n v="35"/>
    <n v="4.99"/>
    <n v="174.65"/>
    <n v="0.1"/>
    <n v="17.465"/>
    <n v="157.185"/>
  </r>
  <r>
    <d v="2020-01-25T00:00:00"/>
    <s v="Wrocław"/>
    <s v="Zielińska"/>
    <x v="3"/>
    <n v="55"/>
    <n v="25"/>
    <n v="1375"/>
    <n v="0"/>
    <n v="0"/>
    <n v="1375"/>
  </r>
  <r>
    <d v="2020-01-14T00:00:00"/>
    <s v="Wałbrzych"/>
    <s v="Wiśniewska"/>
    <x v="0"/>
    <n v="7"/>
    <n v="19.989999999999998"/>
    <n v="139.92999999999998"/>
    <n v="0.02"/>
    <n v="2.7985999999999995"/>
    <n v="137.13139999999999"/>
  </r>
  <r>
    <d v="2020-01-05T00:00:00"/>
    <s v="Wrocław"/>
    <s v="Zielińska"/>
    <x v="4"/>
    <n v="4"/>
    <n v="22.5"/>
    <n v="90"/>
    <n v="0.1"/>
    <n v="9"/>
    <n v="81"/>
  </r>
  <r>
    <d v="2020-11-11T00:00:00"/>
    <s v="Jelenia Góra"/>
    <s v="Woźniak"/>
    <x v="5"/>
    <n v="1"/>
    <n v="125.6"/>
    <n v="125.6"/>
    <n v="0.05"/>
    <n v="6.28"/>
    <n v="119.32"/>
  </r>
  <r>
    <d v="2020-02-02T00:00:00"/>
    <s v="Wałbrzych"/>
    <s v="Dąbrowska"/>
    <x v="2"/>
    <n v="50"/>
    <n v="4.99"/>
    <n v="249.5"/>
    <n v="0.02"/>
    <n v="4.99"/>
    <n v="244.51"/>
  </r>
  <r>
    <d v="2020-02-18T00:00:00"/>
    <s v="Wrocław"/>
    <s v="Lewandowska"/>
    <x v="6"/>
    <n v="15"/>
    <n v="1.29"/>
    <n v="19.350000000000001"/>
    <n v="0.05"/>
    <n v="0.96750000000000014"/>
    <n v="18.3825"/>
  </r>
  <r>
    <d v="2020-02-04T00:00:00"/>
    <s v="Wrocław"/>
    <s v="Lewandowska"/>
    <x v="0"/>
    <n v="4"/>
    <n v="19.989999999999998"/>
    <n v="79.959999999999994"/>
    <n v="0"/>
    <n v="0"/>
    <n v="79.959999999999994"/>
  </r>
  <r>
    <d v="2020-02-16T00:00:00"/>
    <s v="Jelenia Góra"/>
    <s v="Woźniak"/>
    <x v="0"/>
    <n v="8"/>
    <n v="19.989999999999998"/>
    <n v="159.91999999999999"/>
    <n v="0.1"/>
    <n v="15.991999999999999"/>
    <n v="143.928"/>
  </r>
  <r>
    <d v="2020-02-24T00:00:00"/>
    <s v="Wrocław"/>
    <s v="Zielińska"/>
    <x v="6"/>
    <n v="10"/>
    <n v="1.29"/>
    <n v="12.9"/>
    <n v="0"/>
    <n v="0"/>
    <n v="12.9"/>
  </r>
  <r>
    <d v="2020-02-02T00:00:00"/>
    <s v="Wrocław"/>
    <s v="Zielińska"/>
    <x v="7"/>
    <n v="35"/>
    <n v="2.5"/>
    <n v="87.5"/>
    <n v="0.02"/>
    <n v="1.75"/>
    <n v="85.75"/>
  </r>
  <r>
    <d v="2020-02-23T00:00:00"/>
    <s v="Jelenia Góra"/>
    <s v="Kamińska"/>
    <x v="7"/>
    <n v="50"/>
    <n v="2.5"/>
    <n v="125"/>
    <n v="0.02"/>
    <n v="2.5"/>
    <n v="122.5"/>
  </r>
  <r>
    <d v="2020-03-01T00:00:00"/>
    <s v="Jelenia Góra"/>
    <s v="Kamińska"/>
    <x v="6"/>
    <n v="10"/>
    <n v="1.99"/>
    <n v="19.899999999999999"/>
    <n v="0.05"/>
    <n v="0.995"/>
    <n v="18.904999999999998"/>
  </r>
  <r>
    <d v="2020-03-15T00:00:00"/>
    <s v="Jelenia Góra"/>
    <s v="Kamińska"/>
    <x v="0"/>
    <n v="6"/>
    <n v="17.899999999999999"/>
    <n v="107.39999999999999"/>
    <n v="0"/>
    <n v="0"/>
    <n v="107.39999999999999"/>
  </r>
  <r>
    <d v="2020-03-29T00:00:00"/>
    <s v="Legnica"/>
    <s v="Szymańska"/>
    <x v="6"/>
    <n v="5"/>
    <n v="1.29"/>
    <n v="6.45"/>
    <n v="0.05"/>
    <n v="0.32250000000000001"/>
    <n v="6.1275000000000004"/>
  </r>
  <r>
    <d v="2020-04-12T00:00:00"/>
    <s v="Legnica"/>
    <s v="Nowak"/>
    <x v="6"/>
    <n v="15"/>
    <n v="1.29"/>
    <n v="19.350000000000001"/>
    <n v="0"/>
    <n v="0"/>
    <n v="19.350000000000001"/>
  </r>
  <r>
    <d v="2020-04-26T00:00:00"/>
    <s v="Wrocław"/>
    <s v="Zielińska"/>
    <x v="0"/>
    <n v="3"/>
    <n v="19.989999999999998"/>
    <n v="59.97"/>
    <n v="0"/>
    <n v="0"/>
    <n v="59.97"/>
  </r>
  <r>
    <d v="2020-05-10T00:00:00"/>
    <s v="Wałbrzych"/>
    <s v="Wiśniewska"/>
    <x v="3"/>
    <n v="45"/>
    <n v="25"/>
    <n v="1125"/>
    <n v="0.05"/>
    <n v="56.25"/>
    <n v="1068.75"/>
  </r>
  <r>
    <d v="2020-04-17T00:00:00"/>
    <s v="Jelenia Góra"/>
    <s v="Kamińska"/>
    <x v="6"/>
    <n v="25"/>
    <n v="1.99"/>
    <n v="49.75"/>
    <n v="0"/>
    <n v="0"/>
    <n v="49.75"/>
  </r>
  <r>
    <d v="2020-04-26T00:00:00"/>
    <s v="Legnica"/>
    <s v="Szymańska"/>
    <x v="0"/>
    <n v="2"/>
    <n v="19.989999999999998"/>
    <n v="39.979999999999997"/>
    <n v="0.05"/>
    <n v="1.9989999999999999"/>
    <n v="37.980999999999995"/>
  </r>
  <r>
    <d v="2020-04-13T00:00:00"/>
    <s v="Wałbrzych"/>
    <s v="Wiśniewska"/>
    <x v="6"/>
    <n v="15"/>
    <n v="1.29"/>
    <n v="19.350000000000001"/>
    <n v="0.05"/>
    <n v="0.96750000000000014"/>
    <n v="18.3825"/>
  </r>
  <r>
    <d v="2020-05-05T00:00:00"/>
    <s v="Legnica"/>
    <s v="Kowalczyk"/>
    <x v="6"/>
    <n v="12"/>
    <n v="1.99"/>
    <n v="23.88"/>
    <n v="0.02"/>
    <n v="0.47759999999999997"/>
    <n v="23.4024"/>
  </r>
  <r>
    <d v="2020-05-12T00:00:00"/>
    <s v="Jelenia Góra"/>
    <s v="Kowalski"/>
    <x v="0"/>
    <n v="6"/>
    <n v="17.899999999999999"/>
    <n v="107.39999999999999"/>
    <n v="0.1"/>
    <n v="10.74"/>
    <n v="96.66"/>
  </r>
  <r>
    <d v="2020-05-08T00:00:00"/>
    <s v="Legnica"/>
    <s v="Nowak"/>
    <x v="0"/>
    <n v="6"/>
    <n v="19.989999999999998"/>
    <n v="119.94"/>
    <n v="0"/>
    <n v="0"/>
    <n v="119.94"/>
  </r>
  <r>
    <d v="2020-05-19T00:00:00"/>
    <s v="Legnica"/>
    <s v="Nowak"/>
    <x v="4"/>
    <n v="4"/>
    <n v="27"/>
    <n v="108"/>
    <n v="0.05"/>
    <n v="5.4"/>
    <n v="102.6"/>
  </r>
  <r>
    <d v="2020-05-05T00:00:00"/>
    <s v="Wałbrzych"/>
    <s v="Wiśniewska"/>
    <x v="2"/>
    <n v="42"/>
    <n v="4.99"/>
    <n v="209.58"/>
    <n v="0"/>
    <n v="0"/>
    <n v="209.58"/>
  </r>
  <r>
    <d v="2020-05-17T00:00:00"/>
    <s v="Jelenia Góra"/>
    <s v="Woźniak"/>
    <x v="7"/>
    <n v="35"/>
    <n v="4.99"/>
    <n v="174.65"/>
    <n v="0.1"/>
    <n v="17.465"/>
    <n v="157.185"/>
  </r>
  <r>
    <d v="2020-05-28T00:00:00"/>
    <s v="Jelenia Góra"/>
    <s v="Wójcik"/>
    <x v="7"/>
    <n v="35"/>
    <n v="2.5"/>
    <n v="87.5"/>
    <n v="0.02"/>
    <n v="1.75"/>
    <n v="85.75"/>
  </r>
  <r>
    <d v="2020-06-02T00:00:00"/>
    <s v="Legnica"/>
    <s v="Kowalczyk"/>
    <x v="0"/>
    <n v="10"/>
    <n v="19.989999999999998"/>
    <n v="199.89999999999998"/>
    <n v="0"/>
    <n v="0"/>
    <n v="199.89999999999998"/>
  </r>
  <r>
    <d v="2020-06-10T00:00:00"/>
    <s v="Jelenia Góra"/>
    <s v="Kowalski"/>
    <x v="6"/>
    <n v="20"/>
    <n v="1.29"/>
    <n v="25.8"/>
    <n v="0.02"/>
    <n v="0.51600000000000001"/>
    <n v="25.283999999999999"/>
  </r>
  <r>
    <d v="2020-06-04T00:00:00"/>
    <s v="Jelenia Góra"/>
    <s v="Wójcik"/>
    <x v="0"/>
    <n v="4"/>
    <n v="19.989999999999998"/>
    <n v="79.959999999999994"/>
    <n v="0"/>
    <n v="0"/>
    <n v="79.959999999999994"/>
  </r>
  <r>
    <d v="2020-06-26T00:00:00"/>
    <s v="Jelenia Góra"/>
    <s v="Woźniak"/>
    <x v="5"/>
    <n v="2"/>
    <n v="125.6"/>
    <n v="251.2"/>
    <n v="0.05"/>
    <n v="12.56"/>
    <n v="238.64"/>
  </r>
  <r>
    <d v="2020-06-27T00:00:00"/>
    <s v="Wałbrzych"/>
    <s v="Dąbrowska"/>
    <x v="5"/>
    <n v="4"/>
    <n v="125.6"/>
    <n v="502.4"/>
    <n v="0.05"/>
    <n v="25.12"/>
    <n v="477.28"/>
  </r>
  <r>
    <d v="2020-07-13T00:00:00"/>
    <s v="Jelenia Góra"/>
    <s v="Kowalski"/>
    <x v="2"/>
    <n v="25"/>
    <n v="4.99"/>
    <n v="124.75"/>
    <n v="0.02"/>
    <n v="2.4950000000000001"/>
    <n v="122.255"/>
  </r>
  <r>
    <d v="2020-07-22T00:00:00"/>
    <s v="Legnica"/>
    <s v="Nowak"/>
    <x v="6"/>
    <n v="15"/>
    <n v="1.29"/>
    <n v="19.350000000000001"/>
    <n v="0.02"/>
    <n v="0.38700000000000001"/>
    <n v="18.963000000000001"/>
  </r>
  <r>
    <d v="2020-07-19T00:00:00"/>
    <s v="Jelenia Góra"/>
    <s v="Wójcik"/>
    <x v="8"/>
    <n v="35"/>
    <n v="6.5"/>
    <n v="227.5"/>
    <n v="0"/>
    <n v="0"/>
    <n v="227.5"/>
  </r>
  <r>
    <d v="2020-08-02T00:00:00"/>
    <s v="Legnica"/>
    <s v="Nowak"/>
    <x v="0"/>
    <n v="10"/>
    <n v="19.989999999999998"/>
    <n v="199.89999999999998"/>
    <n v="0.05"/>
    <n v="9.9949999999999992"/>
    <n v="189.90499999999997"/>
  </r>
  <r>
    <d v="2020-08-29T00:00:00"/>
    <s v="Legnica"/>
    <s v="Nowak"/>
    <x v="8"/>
    <n v="12"/>
    <n v="6.5"/>
    <n v="78"/>
    <n v="0.02"/>
    <n v="1.56"/>
    <n v="76.44"/>
  </r>
  <r>
    <d v="2020-09-12T00:00:00"/>
    <s v="Jelenia Góra"/>
    <s v="Kowalski"/>
    <x v="0"/>
    <n v="4"/>
    <n v="19.989999999999998"/>
    <n v="79.959999999999994"/>
    <n v="0"/>
    <n v="0"/>
    <n v="79.959999999999994"/>
  </r>
  <r>
    <d v="2020-09-18T00:00:00"/>
    <s v="Legnica"/>
    <s v="Nowak"/>
    <x v="2"/>
    <n v="16"/>
    <n v="6.5"/>
    <n v="104"/>
    <n v="0.05"/>
    <n v="5.2"/>
    <n v="98.8"/>
  </r>
  <r>
    <d v="2020-09-24T00:00:00"/>
    <s v="Jelenia Góra"/>
    <s v="Wójcik"/>
    <x v="3"/>
    <n v="50"/>
    <n v="25"/>
    <n v="1250"/>
    <n v="0.02"/>
    <n v="25"/>
    <n v="1225"/>
  </r>
  <r>
    <d v="2020-09-15T00:00:00"/>
    <s v="Wałbrzych"/>
    <s v="Wiśniewska"/>
    <x v="4"/>
    <n v="6"/>
    <n v="22.5"/>
    <n v="135"/>
    <n v="0"/>
    <n v="0"/>
    <n v="135"/>
  </r>
  <r>
    <d v="2020-10-02T00:00:00"/>
    <s v="Wrocław"/>
    <s v="Lewandowska"/>
    <x v="8"/>
    <n v="5"/>
    <n v="6.5"/>
    <n v="32.5"/>
    <n v="0"/>
    <n v="0"/>
    <n v="32.5"/>
  </r>
  <r>
    <d v="2020-10-21T00:00:00"/>
    <s v="Wałbrzych"/>
    <s v="Dąbrowska"/>
    <x v="0"/>
    <n v="4"/>
    <n v="17.899999999999999"/>
    <n v="71.599999999999994"/>
    <n v="0.1"/>
    <n v="7.16"/>
    <n v="64.44"/>
  </r>
  <r>
    <d v="2020-10-13T00:00:00"/>
    <s v="Jelenia Góra"/>
    <s v="Kowalski"/>
    <x v="6"/>
    <n v="10"/>
    <n v="1.29"/>
    <n v="12.9"/>
    <n v="0.05"/>
    <n v="0.64500000000000002"/>
    <n v="12.255000000000001"/>
  </r>
  <r>
    <d v="2020-11-10T00:00:00"/>
    <s v="Legnica"/>
    <s v="Nowak"/>
    <x v="2"/>
    <n v="60"/>
    <n v="6.5"/>
    <n v="390"/>
    <n v="0.1"/>
    <n v="39"/>
    <n v="351"/>
  </r>
  <r>
    <d v="2020-11-20T00:00:00"/>
    <s v="Jelenia Góra"/>
    <s v="Wójcik"/>
    <x v="1"/>
    <n v="4"/>
    <n v="12.49"/>
    <n v="49.96"/>
    <n v="0.05"/>
    <n v="2.4980000000000002"/>
    <n v="47.462000000000003"/>
  </r>
  <r>
    <d v="2020-11-05T00:00:00"/>
    <s v="Wałbrzych"/>
    <s v="Wiśniewska"/>
    <x v="5"/>
    <n v="2"/>
    <n v="125.6"/>
    <n v="251.2"/>
    <n v="0.05"/>
    <n v="12.56"/>
    <n v="238.64"/>
  </r>
  <r>
    <d v="2020-10-21T00:00:00"/>
    <s v="Jelenia Góra"/>
    <s v="Kamińska"/>
    <x v="6"/>
    <n v="15"/>
    <n v="1.29"/>
    <n v="19.350000000000001"/>
    <n v="0.05"/>
    <n v="0.96750000000000014"/>
    <n v="18.3825"/>
  </r>
  <r>
    <d v="2020-12-06T00:00:00"/>
    <s v="Jelenia Góra"/>
    <s v="Woźniak"/>
    <x v="1"/>
    <n v="20"/>
    <n v="12.49"/>
    <n v="249.8"/>
    <n v="0.1"/>
    <n v="24.980000000000004"/>
    <n v="224.82"/>
  </r>
  <r>
    <d v="2020-12-21T00:00:00"/>
    <s v="Wrocław"/>
    <s v="Zielińska"/>
    <x v="0"/>
    <n v="3"/>
    <n v="19.989999999999998"/>
    <n v="59.97"/>
    <n v="0"/>
    <n v="0"/>
    <n v="59.97"/>
  </r>
  <r>
    <d v="2020-12-10T00:00:00"/>
    <s v="Wrocław"/>
    <s v="Zielińska"/>
    <x v="7"/>
    <n v="40"/>
    <n v="2.5"/>
    <n v="100"/>
    <n v="0"/>
    <n v="0"/>
    <n v="100"/>
  </r>
  <r>
    <d v="2020-12-03T00:00:00"/>
    <s v="Wrocław"/>
    <s v="Lewandowska"/>
    <x v="6"/>
    <n v="10"/>
    <n v="1.29"/>
    <n v="12.9"/>
    <n v="0"/>
    <n v="0"/>
    <n v="12.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A99AB6-E9D2-459C-8E92-9F86116EBC7A}" name="Tabela przestawna5" cacheId="0" applyNumberFormats="0" applyBorderFormats="0" applyFontFormats="0" applyPatternFormats="0" applyAlignmentFormats="0" applyWidthHeightFormats="1" dataCaption="Wartości" updatedVersion="6" minRefreshableVersion="3" useAutoFormatting="1" itemPrintTitles="1" createdVersion="6" indent="0" outline="1" outlineData="1" multipleFieldFilters="0">
  <location ref="H38:J45" firstHeaderRow="0" firstDataRow="1" firstDataCol="1"/>
  <pivotFields count="7">
    <pivotField showAll="0"/>
    <pivotField showAll="0"/>
    <pivotField showAll="0"/>
    <pivotField dataField="1" showAll="0">
      <items count="16">
        <item x="3"/>
        <item x="5"/>
        <item x="9"/>
        <item x="13"/>
        <item x="8"/>
        <item x="12"/>
        <item x="14"/>
        <item x="1"/>
        <item x="4"/>
        <item x="10"/>
        <item x="2"/>
        <item x="6"/>
        <item x="0"/>
        <item x="7"/>
        <item x="11"/>
        <item t="default"/>
      </items>
    </pivotField>
    <pivotField axis="axisRow" showAll="0">
      <items count="7">
        <item x="0"/>
        <item x="5"/>
        <item x="3"/>
        <item x="2"/>
        <item x="4"/>
        <item x="1"/>
        <item t="default"/>
      </items>
    </pivotField>
    <pivotField showAll="0"/>
    <pivotField dataField="1" dragToRow="0" dragToCol="0" dragToPage="0" showAll="0" defaultSubtotal="0"/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z Wartość sprzedaży" fld="3" baseField="0" baseItem="0"/>
    <dataField name="Suma z Prowizja" fld="6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E557F5-0AC9-4143-996F-0484F038CBC2}" name="Tabela przestawna4" cacheId="0" applyNumberFormats="0" applyBorderFormats="0" applyFontFormats="0" applyPatternFormats="0" applyAlignmentFormats="0" applyWidthHeightFormats="1" dataCaption="Wartości" updatedVersion="6" minRefreshableVersion="3" useAutoFormatting="1" itemPrintTitles="1" createdVersion="6" indent="0" outline="1" outlineData="1" multipleFieldFilters="0">
  <location ref="H21:J35" firstHeaderRow="0" firstDataRow="1" firstDataCol="1"/>
  <pivotFields count="7">
    <pivotField showAll="0">
      <items count="4">
        <item x="0"/>
        <item x="1"/>
        <item x="2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dataField="1" showAll="0"/>
    <pivotField dataField="1" showAll="0"/>
    <pivotField showAll="0"/>
    <pivotField axis="axisRow" showAll="0">
      <items count="5">
        <item x="2"/>
        <item x="1"/>
        <item x="0"/>
        <item x="3"/>
        <item t="default"/>
      </items>
    </pivotField>
    <pivotField dragToRow="0" dragToCol="0" dragToPage="0" showAll="0" defaultSubtotal="0"/>
  </pivotFields>
  <rowFields count="2">
    <field x="1"/>
    <field x="5"/>
  </rowFields>
  <rowItems count="14">
    <i>
      <x/>
    </i>
    <i r="1">
      <x v="1"/>
    </i>
    <i r="1">
      <x v="2"/>
    </i>
    <i r="1">
      <x v="3"/>
    </i>
    <i>
      <x v="1"/>
    </i>
    <i r="1">
      <x v="1"/>
    </i>
    <i r="1">
      <x v="2"/>
    </i>
    <i>
      <x v="2"/>
    </i>
    <i r="1">
      <x v="3"/>
    </i>
    <i>
      <x v="3"/>
    </i>
    <i r="1">
      <x/>
    </i>
    <i r="1">
      <x v="1"/>
    </i>
    <i r="1"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z Liczba sprzedanych samochodów" fld="2" baseField="0" baseItem="0"/>
    <dataField name="Suma z Wartość sprzedaży" fld="3" baseField="0" baseItem="0" numFmtId="165"/>
  </dataFields>
  <formats count="1"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381AF4-8818-4AC9-8AE9-FD24BD5C8CBF}" name="Tabela przestawna3" cacheId="0" applyNumberFormats="0" applyBorderFormats="0" applyFontFormats="0" applyPatternFormats="0" applyAlignmentFormats="0" applyWidthHeightFormats="1" dataCaption="Wartości" updatedVersion="6" minRefreshableVersion="3" useAutoFormatting="1" itemPrintTitles="1" createdVersion="6" indent="0" outline="1" outlineData="1" multipleFieldFilters="0">
  <location ref="H11:J18" firstHeaderRow="0" firstDataRow="1" firstDataCol="1"/>
  <pivotFields count="7">
    <pivotField showAll="0"/>
    <pivotField showAll="0">
      <items count="5">
        <item x="0"/>
        <item x="1"/>
        <item x="3"/>
        <item x="2"/>
        <item t="default"/>
      </items>
    </pivotField>
    <pivotField showAll="0"/>
    <pivotField dataField="1" showAll="0">
      <items count="16">
        <item x="3"/>
        <item x="5"/>
        <item x="9"/>
        <item x="13"/>
        <item x="8"/>
        <item x="12"/>
        <item x="14"/>
        <item x="1"/>
        <item x="4"/>
        <item x="10"/>
        <item x="2"/>
        <item x="6"/>
        <item x="0"/>
        <item x="7"/>
        <item x="11"/>
        <item t="default"/>
      </items>
    </pivotField>
    <pivotField axis="axisRow" showAll="0" sortType="descending">
      <items count="7">
        <item x="1"/>
        <item x="4"/>
        <item x="2"/>
        <item x="3"/>
        <item x="5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ragToRow="0" dragToCol="0" dragToPage="0" showAll="0" defaultSubtotal="0"/>
  </pivotFields>
  <rowFields count="1">
    <field x="4"/>
  </rowFields>
  <rowItems count="7">
    <i>
      <x/>
    </i>
    <i>
      <x v="1"/>
    </i>
    <i>
      <x v="5"/>
    </i>
    <i>
      <x v="3"/>
    </i>
    <i>
      <x v="4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z Wartość sprzedaży" fld="3" baseField="0" baseItem="0" numFmtId="167"/>
    <dataField name="Suma z Wartość sprzedaży2" fld="3" showDataAs="percentOfTotal" baseField="4" baseItem="0" numFmtId="10"/>
  </dataFields>
  <formats count="2">
    <format dxfId="24">
      <pivotArea outline="0" collapsedLevelsAreSubtotals="1" fieldPosition="0"/>
    </format>
    <format dxfId="23">
      <pivotArea outline="0" fieldPosition="0">
        <references count="1">
          <reference field="4294967294" count="1">
            <x v="1"/>
          </reference>
        </references>
      </pivotArea>
    </format>
  </formats>
  <conditionalFormats count="1">
    <conditionalFormat priority="4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0643EE-A653-4DE3-BA39-323CFB3208C4}" name="Tabela przestawna2" cacheId="0" applyNumberFormats="0" applyBorderFormats="0" applyFontFormats="0" applyPatternFormats="0" applyAlignmentFormats="0" applyWidthHeightFormats="1" dataCaption="Wartości" updatedVersion="8" minRefreshableVersion="3" useAutoFormatting="1" itemPrintTitles="1" createdVersion="6" indent="0" outline="1" outlineData="1" multipleFieldFilters="0">
  <location ref="H3:I6" firstHeaderRow="1" firstDataRow="1" firstDataCol="1" rowPageCount="1" colPageCount="1"/>
  <pivotFields count="7">
    <pivotField showAll="0"/>
    <pivotField axis="axisRow" showAll="0" sortType="descending">
      <items count="5">
        <item x="0"/>
        <item x="1"/>
        <item x="3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axis="axisPage" multipleItemSelectionAllowed="1" showAll="0">
      <items count="7">
        <item h="1" x="0"/>
        <item x="5"/>
        <item h="1" x="3"/>
        <item h="1" x="2"/>
        <item h="1" x="4"/>
        <item h="1" x="1"/>
        <item t="default"/>
      </items>
    </pivotField>
    <pivotField showAll="0"/>
    <pivotField dragToRow="0" dragToCol="0" dragToPage="0" showAll="0" defaultSubtotal="0"/>
  </pivotFields>
  <rowFields count="1">
    <field x="1"/>
  </rowFields>
  <rowItems count="3">
    <i>
      <x v="1"/>
    </i>
    <i>
      <x/>
    </i>
    <i t="grand">
      <x/>
    </i>
  </rowItems>
  <colItems count="1">
    <i/>
  </colItems>
  <pageFields count="1">
    <pageField fld="4" hier="-1"/>
  </pageFields>
  <dataFields count="1">
    <dataField name="Suma z Wartość sprzedaży" fld="3" baseField="0" baseItem="0" numFmtId="165"/>
  </dataFields>
  <formats count="1">
    <format dxfId="2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E9DACE-5960-4B47-ADE1-209124F70DE3}" name="Tabela przestawna8" cacheId="1" applyNumberFormats="0" applyBorderFormats="0" applyFontFormats="0" applyPatternFormats="0" applyAlignmentFormats="0" applyWidthHeightFormats="1" dataCaption="Wartości" updatedVersion="8" minRefreshableVersion="3" useAutoFormatting="1" itemPrintTitles="1" createdVersion="6" indent="0" compact="0" outline="1" outlineData="1" compactData="0" multipleFieldFilters="0">
  <location ref="G3:H7" firstHeaderRow="1" firstDataRow="1" firstDataCol="1" rowPageCount="1" colPageCount="1"/>
  <pivotFields count="5">
    <pivotField compact="0" showAll="0"/>
    <pivotField compact="0" showAll="0"/>
    <pivotField axis="axisRow" compact="0" showAll="0">
      <items count="5">
        <item x="0"/>
        <item x="1"/>
        <item x="3"/>
        <item x="2"/>
        <item t="default"/>
      </items>
    </pivotField>
    <pivotField dataField="1" compact="0" showAll="0"/>
    <pivotField axis="axisPage" compact="0" showAll="0">
      <items count="4">
        <item x="1"/>
        <item x="2"/>
        <item x="0"/>
        <item t="default"/>
      </items>
    </pivotField>
  </pivotFields>
  <rowFields count="1">
    <field x="2"/>
  </rowFields>
  <rowItems count="4">
    <i>
      <x v="1"/>
    </i>
    <i>
      <x v="2"/>
    </i>
    <i>
      <x v="3"/>
    </i>
    <i t="grand">
      <x/>
    </i>
  </rowItems>
  <colItems count="1">
    <i/>
  </colItems>
  <pageFields count="1">
    <pageField fld="4" item="0" hier="-1"/>
  </pageFields>
  <dataFields count="1">
    <dataField name="Suma z Ilość sztuk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858C5E-6995-4CD8-AE01-498843638D75}" name="Tabela przestawna9" cacheId="2" applyNumberFormats="0" applyBorderFormats="0" applyFontFormats="0" applyPatternFormats="0" applyAlignmentFormats="0" applyWidthHeightFormats="1" dataCaption="Wartości" updatedVersion="6" minRefreshableVersion="3" useAutoFormatting="1" itemPrintTitles="1" createdVersion="6" indent="0" outline="1" outlineData="1" multipleFieldFilters="0">
  <location ref="L2:O12" firstHeaderRow="0" firstDataRow="1" firstDataCol="1"/>
  <pivotFields count="10">
    <pivotField numFmtId="166" showAll="0"/>
    <pivotField showAll="0"/>
    <pivotField showAll="0"/>
    <pivotField axis="axisRow" showAll="0">
      <items count="10">
        <item x="2"/>
        <item x="4"/>
        <item x="5"/>
        <item x="8"/>
        <item x="6"/>
        <item x="3"/>
        <item x="7"/>
        <item x="1"/>
        <item x="0"/>
        <item t="default"/>
      </items>
    </pivotField>
    <pivotField numFmtId="3" showAll="0"/>
    <pivotField numFmtId="165" showAll="0"/>
    <pivotField dataField="1" numFmtId="165" showAll="0"/>
    <pivotField numFmtId="9" showAll="0"/>
    <pivotField dataField="1" numFmtId="165" showAll="0"/>
    <pivotField dataField="1" numFmtId="165" showAll="0"/>
  </pivotFields>
  <rowFields count="1">
    <field x="3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a z Wartość sprzedaży" fld="6" baseField="0" baseItem="0"/>
    <dataField name="Suma z Wartość rabatu" fld="8" baseField="0" baseItem="0"/>
    <dataField name="Suma z Wartość sprzedaży po rabacie" fld="9" baseField="0" baseItem="0"/>
  </dataFields>
  <formats count="6">
    <format dxfId="17">
      <pivotArea type="all" dataOnly="0" outline="0" fieldPosition="0"/>
    </format>
    <format dxfId="16">
      <pivotArea outline="0" collapsedLevelsAreSubtotals="1" fieldPosition="0"/>
    </format>
    <format dxfId="15">
      <pivotArea field="3" type="button" dataOnly="0" labelOnly="1" outline="0" axis="axisRow" fieldPosition="0"/>
    </format>
    <format dxfId="14">
      <pivotArea dataOnly="0" labelOnly="1" fieldPosition="0">
        <references count="1">
          <reference field="3" count="0"/>
        </references>
      </pivotArea>
    </format>
    <format dxfId="13">
      <pivotArea dataOnly="0" labelOnly="1" grandRow="1" outline="0" fieldPosition="0"/>
    </format>
    <format dxfId="1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Fragmentator_Sprzedawca" xr10:uid="{5EC18B89-167E-4AD7-8382-A5260C7A4499}" sourceName="Sprzedawca">
  <pivotTables>
    <pivotTable tabId="1" name="Tabela przestawna2"/>
  </pivotTables>
  <data>
    <tabular pivotCacheId="158224822">
      <items count="6">
        <i x="0"/>
        <i x="5" s="1"/>
        <i x="3"/>
        <i x="2"/>
        <i x="4"/>
        <i x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Fragmentator_Miasto" xr10:uid="{71CD3457-8163-4713-800B-8E54FA1A9EB5}" sourceName="Miasto">
  <pivotTables>
    <pivotTable tabId="2" name="Tabela przestawna8"/>
  </pivotTables>
  <data>
    <tabular pivotCacheId="1791499754">
      <items count="3">
        <i x="1" s="1"/>
        <i x="2"/>
        <i x="0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przedawca" xr10:uid="{4CA56561-DB24-49A1-82FB-1A7AEED5A0FE}" cache="Fragmentator_Sprzedawca" caption="Sprzedawca" rowHeight="2413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iasto" xr10:uid="{51416516-641C-4F47-8452-0580603F6963}" cache="Fragmentator_Miasto" caption="Miasto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ACA8A35-68F9-434A-968D-20371AEF0479}" name="Tabela1" displayName="Tabela1" ref="A1:E10" totalsRowShown="0" headerRowDxfId="21">
  <autoFilter ref="A1:E10" xr:uid="{1E1364E3-17CD-480F-B2CB-C7463F843E25}"/>
  <tableColumns count="5">
    <tableColumn id="1" xr3:uid="{3FD54454-06D6-437C-AD1E-F3D056B8B640}" name="Lp" dataDxfId="20"/>
    <tableColumn id="2" xr3:uid="{3109F94D-1159-4107-9DDD-D312908456DC}" name="Klient/firma"/>
    <tableColumn id="3" xr3:uid="{82D462EC-B0BB-4137-888A-9AEB9BBBD8C4}" name="Artykuł"/>
    <tableColumn id="4" xr3:uid="{BEE625D3-D103-48F3-B07A-EAEC27D4A775}" name="Ilość sztuk" dataDxfId="19"/>
    <tableColumn id="5" xr3:uid="{4E0B0197-D8EF-4D32-AF65-3EDCAE0B0991}" name="Miasto" dataDxfId="1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8B490F2-9576-4728-A7C8-4BCA9834386A}" name="Tabela2" displayName="Tabela2" ref="A1:J56" totalsRowShown="0" headerRowDxfId="11" dataDxfId="10" dataCellStyle="Walutowy">
  <autoFilter ref="A1:J56" xr:uid="{B26F3430-8848-4BDC-A71C-6EEE4D0EC03B}"/>
  <sortState xmlns:xlrd2="http://schemas.microsoft.com/office/spreadsheetml/2017/richdata2" ref="A2:J56">
    <sortCondition ref="B1:B56"/>
  </sortState>
  <tableColumns count="10">
    <tableColumn id="1" xr3:uid="{7B68AB93-AFA3-49AA-AD4D-E444F13E3FDF}" name="Data zamówienia" dataDxfId="9"/>
    <tableColumn id="2" xr3:uid="{C79AD911-3E9C-4E7D-A4DD-491D40110E13}" name="Miasto" dataDxfId="8" dataCellStyle="Walutowy"/>
    <tableColumn id="3" xr3:uid="{FE5A24FA-D40C-4557-9CAF-3B077037F46C}" name="Handlowiec" dataDxfId="7" dataCellStyle="Walutowy"/>
    <tableColumn id="4" xr3:uid="{B0A3F823-B6CD-439A-90B7-B443AEEA6AF5}" name="Produkt" dataDxfId="6" dataCellStyle="Walutowy"/>
    <tableColumn id="5" xr3:uid="{208F4365-968B-44C7-B455-EC17EA74CEF4}" name="Ilość" dataDxfId="5" dataCellStyle="Walutowy"/>
    <tableColumn id="6" xr3:uid="{D0761C4E-8D43-4AD6-8995-B7BEC2558A38}" name="Cena jednostkowa" dataDxfId="4" dataCellStyle="Walutowy"/>
    <tableColumn id="7" xr3:uid="{2625C296-D788-413C-9BB3-93DBF893C3E7}" name="Wartość sprzedaży" dataDxfId="3" dataCellStyle="Walutowy">
      <calculatedColumnFormula>F2*E2</calculatedColumnFormula>
    </tableColumn>
    <tableColumn id="8" xr3:uid="{FB625306-2D6F-4855-B904-E551B0B15F86}" name="Rabat" dataDxfId="2"/>
    <tableColumn id="9" xr3:uid="{F8A349D2-A2D4-41B6-98C2-459B1F50285D}" name="Wartość rabatu" dataDxfId="1">
      <calculatedColumnFormula>H2*G2</calculatedColumnFormula>
    </tableColumn>
    <tableColumn id="10" xr3:uid="{EB3038BA-8C54-4B71-B06E-509D75F78A34}" name="Wartość sprzedaży po rabacie" dataDxfId="0" dataCellStyle="Walutowy">
      <calculatedColumnFormula>G2-I2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microsoft.com/office/2007/relationships/slicer" Target="../slicers/slicer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.bin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5.xml"/><Relationship Id="rId4" Type="http://schemas.microsoft.com/office/2007/relationships/slicer" Target="../slicers/slicer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5"/>
  <sheetViews>
    <sheetView workbookViewId="0">
      <selection activeCell="L6" sqref="L6"/>
    </sheetView>
  </sheetViews>
  <sheetFormatPr defaultRowHeight="15" x14ac:dyDescent="0.25"/>
  <cols>
    <col min="2" max="2" width="17.5703125" bestFit="1" customWidth="1"/>
    <col min="3" max="3" width="30.5703125" bestFit="1" customWidth="1"/>
    <col min="4" max="4" width="21.140625" customWidth="1"/>
    <col min="5" max="5" width="18.42578125" customWidth="1"/>
    <col min="6" max="6" width="14.5703125" customWidth="1"/>
    <col min="8" max="8" width="17.7109375" bestFit="1" customWidth="1"/>
    <col min="9" max="9" width="24.42578125" bestFit="1" customWidth="1"/>
    <col min="10" max="10" width="15.28515625" bestFit="1" customWidth="1"/>
    <col min="11" max="11" width="18" bestFit="1" customWidth="1"/>
    <col min="12" max="12" width="15.28515625" bestFit="1" customWidth="1"/>
    <col min="13" max="13" width="15.140625" bestFit="1" customWidth="1"/>
    <col min="14" max="14" width="13.42578125" bestFit="1" customWidth="1"/>
    <col min="15" max="15" width="14.28515625" bestFit="1" customWidth="1"/>
    <col min="16" max="16" width="24.42578125" bestFit="1" customWidth="1"/>
    <col min="17" max="17" width="44.42578125" bestFit="1" customWidth="1"/>
    <col min="18" max="18" width="31.5703125" bestFit="1" customWidth="1"/>
    <col min="19" max="23" width="13.42578125" bestFit="1" customWidth="1"/>
    <col min="24" max="24" width="14.85546875" bestFit="1" customWidth="1"/>
  </cols>
  <sheetData>
    <row r="1" spans="1:10" ht="25.5" customHeight="1" x14ac:dyDescent="0.25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H1" s="16" t="s">
        <v>4</v>
      </c>
      <c r="I1" t="s">
        <v>21</v>
      </c>
    </row>
    <row r="2" spans="1:10" x14ac:dyDescent="0.25">
      <c r="A2" t="s">
        <v>6</v>
      </c>
      <c r="B2" t="s">
        <v>7</v>
      </c>
      <c r="C2" s="1">
        <v>5</v>
      </c>
      <c r="D2" s="1">
        <v>700000</v>
      </c>
      <c r="E2" t="s">
        <v>8</v>
      </c>
      <c r="F2" t="s">
        <v>9</v>
      </c>
    </row>
    <row r="3" spans="1:10" x14ac:dyDescent="0.25">
      <c r="A3" t="s">
        <v>6</v>
      </c>
      <c r="B3" t="s">
        <v>10</v>
      </c>
      <c r="C3" s="1">
        <v>4</v>
      </c>
      <c r="D3" s="1">
        <v>480000</v>
      </c>
      <c r="E3" t="s">
        <v>11</v>
      </c>
      <c r="F3" t="s">
        <v>12</v>
      </c>
      <c r="H3" s="16" t="s">
        <v>70</v>
      </c>
      <c r="I3" t="s">
        <v>72</v>
      </c>
    </row>
    <row r="4" spans="1:10" x14ac:dyDescent="0.25">
      <c r="A4" t="s">
        <v>6</v>
      </c>
      <c r="B4" t="s">
        <v>13</v>
      </c>
      <c r="C4" s="1">
        <v>6</v>
      </c>
      <c r="D4" s="1">
        <v>590000</v>
      </c>
      <c r="E4" t="s">
        <v>14</v>
      </c>
      <c r="F4" t="s">
        <v>15</v>
      </c>
      <c r="H4" s="17" t="s">
        <v>10</v>
      </c>
      <c r="I4" s="19">
        <v>710000</v>
      </c>
    </row>
    <row r="5" spans="1:10" x14ac:dyDescent="0.25">
      <c r="A5" t="s">
        <v>6</v>
      </c>
      <c r="B5" t="s">
        <v>16</v>
      </c>
      <c r="C5" s="1">
        <v>1</v>
      </c>
      <c r="D5" s="1">
        <v>97000</v>
      </c>
      <c r="E5" t="s">
        <v>17</v>
      </c>
      <c r="F5" t="s">
        <v>18</v>
      </c>
      <c r="H5" s="17" t="s">
        <v>7</v>
      </c>
      <c r="I5" s="19">
        <v>270000</v>
      </c>
    </row>
    <row r="6" spans="1:10" x14ac:dyDescent="0.25">
      <c r="A6" t="s">
        <v>19</v>
      </c>
      <c r="B6" t="s">
        <v>7</v>
      </c>
      <c r="C6" s="1">
        <v>4</v>
      </c>
      <c r="D6" s="1">
        <v>510000</v>
      </c>
      <c r="E6" t="s">
        <v>20</v>
      </c>
      <c r="F6" t="s">
        <v>9</v>
      </c>
      <c r="H6" s="17" t="s">
        <v>71</v>
      </c>
      <c r="I6" s="19">
        <v>980000</v>
      </c>
    </row>
    <row r="7" spans="1:10" x14ac:dyDescent="0.25">
      <c r="A7" t="s">
        <v>19</v>
      </c>
      <c r="B7" t="s">
        <v>13</v>
      </c>
      <c r="C7" s="1">
        <v>2</v>
      </c>
      <c r="D7" s="1">
        <v>185000</v>
      </c>
      <c r="E7" t="s">
        <v>14</v>
      </c>
      <c r="F7" t="s">
        <v>15</v>
      </c>
    </row>
    <row r="8" spans="1:10" x14ac:dyDescent="0.25">
      <c r="A8" t="s">
        <v>19</v>
      </c>
      <c r="B8" t="s">
        <v>13</v>
      </c>
      <c r="C8" s="1">
        <v>7</v>
      </c>
      <c r="D8" s="1">
        <v>690000</v>
      </c>
      <c r="E8" t="s">
        <v>20</v>
      </c>
      <c r="F8" t="s">
        <v>9</v>
      </c>
    </row>
    <row r="9" spans="1:10" x14ac:dyDescent="0.25">
      <c r="A9" t="s">
        <v>19</v>
      </c>
      <c r="B9" t="s">
        <v>10</v>
      </c>
      <c r="C9" s="1">
        <v>6</v>
      </c>
      <c r="D9" s="1">
        <v>710000</v>
      </c>
      <c r="E9" t="s">
        <v>21</v>
      </c>
      <c r="F9" t="s">
        <v>12</v>
      </c>
    </row>
    <row r="10" spans="1:10" x14ac:dyDescent="0.25">
      <c r="A10" t="s">
        <v>19</v>
      </c>
      <c r="B10" t="s">
        <v>7</v>
      </c>
      <c r="C10" s="1">
        <v>2</v>
      </c>
      <c r="D10" s="1">
        <v>380000</v>
      </c>
      <c r="E10" t="s">
        <v>11</v>
      </c>
      <c r="F10" t="s">
        <v>12</v>
      </c>
    </row>
    <row r="11" spans="1:10" x14ac:dyDescent="0.25">
      <c r="A11" t="s">
        <v>19</v>
      </c>
      <c r="B11" t="s">
        <v>16</v>
      </c>
      <c r="C11" s="1">
        <v>2</v>
      </c>
      <c r="D11" s="1">
        <v>250000</v>
      </c>
      <c r="E11" t="s">
        <v>17</v>
      </c>
      <c r="F11" t="s">
        <v>18</v>
      </c>
      <c r="H11" s="16" t="s">
        <v>70</v>
      </c>
      <c r="I11" t="s">
        <v>72</v>
      </c>
      <c r="J11" t="s">
        <v>74</v>
      </c>
    </row>
    <row r="12" spans="1:10" x14ac:dyDescent="0.25">
      <c r="A12" t="s">
        <v>22</v>
      </c>
      <c r="B12" t="s">
        <v>10</v>
      </c>
      <c r="C12" s="1">
        <v>5</v>
      </c>
      <c r="D12" s="1">
        <v>550000</v>
      </c>
      <c r="E12" t="s">
        <v>8</v>
      </c>
      <c r="F12" t="s">
        <v>9</v>
      </c>
      <c r="H12" s="17" t="s">
        <v>11</v>
      </c>
      <c r="I12" s="21">
        <v>1610000</v>
      </c>
      <c r="J12" s="20">
        <v>0.22299168975069253</v>
      </c>
    </row>
    <row r="13" spans="1:10" x14ac:dyDescent="0.25">
      <c r="A13" t="s">
        <v>22</v>
      </c>
      <c r="B13" t="s">
        <v>13</v>
      </c>
      <c r="C13" s="1">
        <v>2</v>
      </c>
      <c r="D13" s="1">
        <v>250000</v>
      </c>
      <c r="E13" t="s">
        <v>20</v>
      </c>
      <c r="F13" t="s">
        <v>9</v>
      </c>
      <c r="H13" s="17" t="s">
        <v>20</v>
      </c>
      <c r="I13" s="21">
        <v>1450000</v>
      </c>
      <c r="J13" s="20">
        <v>0.20083102493074792</v>
      </c>
    </row>
    <row r="14" spans="1:10" x14ac:dyDescent="0.25">
      <c r="A14" t="s">
        <v>22</v>
      </c>
      <c r="B14" t="s">
        <v>13</v>
      </c>
      <c r="C14" s="1">
        <v>6</v>
      </c>
      <c r="D14" s="1">
        <v>750000</v>
      </c>
      <c r="E14" t="s">
        <v>11</v>
      </c>
      <c r="F14" t="s">
        <v>12</v>
      </c>
      <c r="H14" s="17" t="s">
        <v>8</v>
      </c>
      <c r="I14" s="21">
        <v>1250000</v>
      </c>
      <c r="J14" s="20">
        <v>0.17313019390581719</v>
      </c>
    </row>
    <row r="15" spans="1:10" x14ac:dyDescent="0.25">
      <c r="A15" t="s">
        <v>22</v>
      </c>
      <c r="B15" t="s">
        <v>7</v>
      </c>
      <c r="C15" s="1">
        <v>4</v>
      </c>
      <c r="D15" s="1">
        <v>400000</v>
      </c>
      <c r="E15" t="s">
        <v>17</v>
      </c>
      <c r="F15" t="s">
        <v>18</v>
      </c>
      <c r="H15" s="17" t="s">
        <v>17</v>
      </c>
      <c r="I15" s="21">
        <v>1155000</v>
      </c>
      <c r="J15" s="20">
        <v>0.15997229916897507</v>
      </c>
    </row>
    <row r="16" spans="1:10" x14ac:dyDescent="0.25">
      <c r="A16" t="s">
        <v>22</v>
      </c>
      <c r="B16" t="s">
        <v>7</v>
      </c>
      <c r="C16" s="1">
        <v>2</v>
      </c>
      <c r="D16" s="1">
        <v>270000</v>
      </c>
      <c r="E16" t="s">
        <v>21</v>
      </c>
      <c r="F16" t="s">
        <v>12</v>
      </c>
      <c r="H16" s="17" t="s">
        <v>21</v>
      </c>
      <c r="I16" s="21">
        <v>980000</v>
      </c>
      <c r="J16" s="20">
        <v>0.13573407202216067</v>
      </c>
    </row>
    <row r="17" spans="1:10" x14ac:dyDescent="0.25">
      <c r="A17" t="s">
        <v>22</v>
      </c>
      <c r="B17" t="s">
        <v>16</v>
      </c>
      <c r="C17" s="1">
        <v>3</v>
      </c>
      <c r="D17" s="1">
        <v>408000</v>
      </c>
      <c r="E17" t="s">
        <v>17</v>
      </c>
      <c r="F17" t="s">
        <v>18</v>
      </c>
      <c r="H17" s="17" t="s">
        <v>14</v>
      </c>
      <c r="I17" s="21">
        <v>775000</v>
      </c>
      <c r="J17" s="20">
        <v>0.10734072022160665</v>
      </c>
    </row>
    <row r="18" spans="1:10" x14ac:dyDescent="0.25">
      <c r="C18" s="1"/>
      <c r="D18" s="1"/>
      <c r="H18" s="17" t="s">
        <v>71</v>
      </c>
      <c r="I18" s="21">
        <v>7220000</v>
      </c>
      <c r="J18" s="20">
        <v>1</v>
      </c>
    </row>
    <row r="19" spans="1:10" x14ac:dyDescent="0.25">
      <c r="C19" s="1"/>
      <c r="D19" s="1"/>
    </row>
    <row r="21" spans="1:10" x14ac:dyDescent="0.25">
      <c r="H21" s="16" t="s">
        <v>70</v>
      </c>
      <c r="I21" t="s">
        <v>73</v>
      </c>
      <c r="J21" t="s">
        <v>72</v>
      </c>
    </row>
    <row r="22" spans="1:10" x14ac:dyDescent="0.25">
      <c r="H22" s="17" t="s">
        <v>7</v>
      </c>
      <c r="I22">
        <v>17</v>
      </c>
      <c r="J22" s="19">
        <v>2260000</v>
      </c>
    </row>
    <row r="23" spans="1:10" x14ac:dyDescent="0.25">
      <c r="H23" s="18" t="s">
        <v>12</v>
      </c>
      <c r="I23">
        <v>4</v>
      </c>
      <c r="J23" s="19">
        <v>650000</v>
      </c>
    </row>
    <row r="24" spans="1:10" x14ac:dyDescent="0.25">
      <c r="H24" s="18" t="s">
        <v>9</v>
      </c>
      <c r="I24">
        <v>9</v>
      </c>
      <c r="J24" s="19">
        <v>1210000</v>
      </c>
    </row>
    <row r="25" spans="1:10" x14ac:dyDescent="0.25">
      <c r="H25" s="18" t="s">
        <v>18</v>
      </c>
      <c r="I25">
        <v>4</v>
      </c>
      <c r="J25" s="19">
        <v>400000</v>
      </c>
    </row>
    <row r="26" spans="1:10" x14ac:dyDescent="0.25">
      <c r="H26" s="17" t="s">
        <v>10</v>
      </c>
      <c r="I26">
        <v>15</v>
      </c>
      <c r="J26" s="19">
        <v>1740000</v>
      </c>
    </row>
    <row r="27" spans="1:10" x14ac:dyDescent="0.25">
      <c r="H27" s="18" t="s">
        <v>12</v>
      </c>
      <c r="I27">
        <v>10</v>
      </c>
      <c r="J27" s="19">
        <v>1190000</v>
      </c>
    </row>
    <row r="28" spans="1:10" x14ac:dyDescent="0.25">
      <c r="H28" s="18" t="s">
        <v>9</v>
      </c>
      <c r="I28">
        <v>5</v>
      </c>
      <c r="J28" s="19">
        <v>550000</v>
      </c>
    </row>
    <row r="29" spans="1:10" x14ac:dyDescent="0.25">
      <c r="H29" s="17" t="s">
        <v>16</v>
      </c>
      <c r="I29">
        <v>6</v>
      </c>
      <c r="J29" s="19">
        <v>755000</v>
      </c>
    </row>
    <row r="30" spans="1:10" x14ac:dyDescent="0.25">
      <c r="H30" s="18" t="s">
        <v>18</v>
      </c>
      <c r="I30">
        <v>6</v>
      </c>
      <c r="J30" s="19">
        <v>755000</v>
      </c>
    </row>
    <row r="31" spans="1:10" x14ac:dyDescent="0.25">
      <c r="H31" s="17" t="s">
        <v>13</v>
      </c>
      <c r="I31">
        <v>23</v>
      </c>
      <c r="J31" s="19">
        <v>2465000</v>
      </c>
    </row>
    <row r="32" spans="1:10" x14ac:dyDescent="0.25">
      <c r="H32" s="18" t="s">
        <v>15</v>
      </c>
      <c r="I32">
        <v>8</v>
      </c>
      <c r="J32" s="19">
        <v>775000</v>
      </c>
    </row>
    <row r="33" spans="8:10" x14ac:dyDescent="0.25">
      <c r="H33" s="18" t="s">
        <v>12</v>
      </c>
      <c r="I33">
        <v>6</v>
      </c>
      <c r="J33" s="19">
        <v>750000</v>
      </c>
    </row>
    <row r="34" spans="8:10" x14ac:dyDescent="0.25">
      <c r="H34" s="18" t="s">
        <v>9</v>
      </c>
      <c r="I34">
        <v>9</v>
      </c>
      <c r="J34" s="19">
        <v>940000</v>
      </c>
    </row>
    <row r="35" spans="8:10" x14ac:dyDescent="0.25">
      <c r="H35" s="17" t="s">
        <v>71</v>
      </c>
      <c r="I35">
        <v>61</v>
      </c>
      <c r="J35" s="19">
        <v>7220000</v>
      </c>
    </row>
    <row r="38" spans="8:10" x14ac:dyDescent="0.25">
      <c r="H38" s="16" t="s">
        <v>70</v>
      </c>
      <c r="I38" t="s">
        <v>72</v>
      </c>
      <c r="J38" t="s">
        <v>75</v>
      </c>
    </row>
    <row r="39" spans="8:10" x14ac:dyDescent="0.25">
      <c r="H39" s="17" t="s">
        <v>8</v>
      </c>
      <c r="I39">
        <v>1250000</v>
      </c>
      <c r="J39" s="19">
        <v>1250</v>
      </c>
    </row>
    <row r="40" spans="8:10" x14ac:dyDescent="0.25">
      <c r="H40" s="17" t="s">
        <v>21</v>
      </c>
      <c r="I40">
        <v>980000</v>
      </c>
      <c r="J40" s="19">
        <v>980</v>
      </c>
    </row>
    <row r="41" spans="8:10" x14ac:dyDescent="0.25">
      <c r="H41" s="17" t="s">
        <v>17</v>
      </c>
      <c r="I41">
        <v>1155000</v>
      </c>
      <c r="J41" s="19">
        <v>1155</v>
      </c>
    </row>
    <row r="42" spans="8:10" x14ac:dyDescent="0.25">
      <c r="H42" s="17" t="s">
        <v>14</v>
      </c>
      <c r="I42">
        <v>775000</v>
      </c>
      <c r="J42" s="19">
        <v>775</v>
      </c>
    </row>
    <row r="43" spans="8:10" x14ac:dyDescent="0.25">
      <c r="H43" s="17" t="s">
        <v>20</v>
      </c>
      <c r="I43">
        <v>1450000</v>
      </c>
      <c r="J43" s="19">
        <v>1450</v>
      </c>
    </row>
    <row r="44" spans="8:10" x14ac:dyDescent="0.25">
      <c r="H44" s="17" t="s">
        <v>11</v>
      </c>
      <c r="I44">
        <v>1610000</v>
      </c>
      <c r="J44" s="19">
        <v>1610</v>
      </c>
    </row>
    <row r="45" spans="8:10" x14ac:dyDescent="0.25">
      <c r="H45" s="17" t="s">
        <v>71</v>
      </c>
      <c r="I45">
        <v>7220000</v>
      </c>
      <c r="J45" s="19">
        <v>7220</v>
      </c>
    </row>
  </sheetData>
  <conditionalFormatting sqref="H1:I3 H4:H6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{1D8D7D34-A427-494C-A3B5-0AE071DE86C1}</x14:id>
        </ext>
      </extLst>
    </cfRule>
  </conditionalFormatting>
  <conditionalFormatting sqref="I1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{FA280237-1189-44B0-A359-867DC963336A}</x14:id>
        </ext>
      </extLst>
    </cfRule>
  </conditionalFormatting>
  <conditionalFormatting sqref="H1:I3 H4:H6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{2B8ADC84-4DD3-49A4-98A6-2024A1A9916C}</x14:id>
        </ext>
      </extLst>
    </cfRule>
  </conditionalFormatting>
  <conditionalFormatting sqref="H1:I3 H4:H6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{7D4F7476-FF04-4708-B1B5-F14865F3C333}</x14:id>
        </ext>
      </extLst>
    </cfRule>
  </conditionalFormatting>
  <conditionalFormatting sqref="H3:I3 H4:H6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{DDDF9CAD-A8EB-42EF-BC5D-096F5A0BA58E}</x14:id>
        </ext>
      </extLst>
    </cfRule>
  </conditionalFormatting>
  <conditionalFormatting sqref="H3:I3 H4:H6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{5AFE607C-9A6E-4717-B616-0CE632115FD9}</x14:id>
        </ext>
      </extLst>
    </cfRule>
  </conditionalFormatting>
  <conditionalFormatting sqref="H3:I3 H4:H6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{954CF9F3-CCC8-4D31-A874-CC11B0B0F3B1}</x14:id>
        </ext>
      </extLst>
    </cfRule>
  </conditionalFormatting>
  <conditionalFormatting sqref="H3:I3 H4:H6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{2BE1EC49-089A-4C3B-A01D-DBB67493F97C}</x14:id>
        </ext>
      </extLst>
    </cfRule>
  </conditionalFormatting>
  <conditionalFormatting pivot="1" sqref="J12:J18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{07A7A7C9-A024-4F7C-AE3C-5A5180A2AA4A}</x14:id>
        </ext>
      </extLst>
    </cfRule>
  </conditionalFormatting>
  <conditionalFormatting sqref="H3:I3 H4:H6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{C113875F-A13D-4933-AC99-C1975EB0EE90}</x14:id>
        </ext>
      </extLst>
    </cfRule>
  </conditionalFormatting>
  <conditionalFormatting sqref="H3:I3 H4:H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{1E567A04-EC28-480B-940B-17D3C4D09FD1}</x14:id>
        </ext>
      </extLst>
    </cfRule>
  </conditionalFormatting>
  <conditionalFormatting sqref="H3:I3 H4:H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{21072515-E7B8-4F11-A9E4-B0E409D1AC26}</x14:id>
        </ext>
      </extLst>
    </cfRule>
  </conditionalFormatting>
  <pageMargins left="0.7" right="0.7" top="0.75" bottom="0.75" header="0.3" footer="0.3"/>
  <pageSetup paperSize="9" orientation="portrait" r:id="rId5"/>
  <drawing r:id="rId6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D8D7D34-A427-494C-A3B5-0AE071DE86C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H1:I3 H4:H6</xm:sqref>
        </x14:conditionalFormatting>
        <x14:conditionalFormatting xmlns:xm="http://schemas.microsoft.com/office/excel/2006/main">
          <x14:cfRule type="dataBar" id="{FA280237-1189-44B0-A359-867DC963336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I1</xm:sqref>
        </x14:conditionalFormatting>
        <x14:conditionalFormatting xmlns:xm="http://schemas.microsoft.com/office/excel/2006/main">
          <x14:cfRule type="dataBar" id="{2B8ADC84-4DD3-49A4-98A6-2024A1A9916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H1:I3 H4:H6</xm:sqref>
        </x14:conditionalFormatting>
        <x14:conditionalFormatting xmlns:xm="http://schemas.microsoft.com/office/excel/2006/main">
          <x14:cfRule type="dataBar" id="{7D4F7476-FF04-4708-B1B5-F14865F3C33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H1:I3 H4:H6</xm:sqref>
        </x14:conditionalFormatting>
        <x14:conditionalFormatting xmlns:xm="http://schemas.microsoft.com/office/excel/2006/main">
          <x14:cfRule type="dataBar" id="{DDDF9CAD-A8EB-42EF-BC5D-096F5A0BA58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H3:I3 H4:H6</xm:sqref>
        </x14:conditionalFormatting>
        <x14:conditionalFormatting xmlns:xm="http://schemas.microsoft.com/office/excel/2006/main">
          <x14:cfRule type="dataBar" id="{5AFE607C-9A6E-4717-B616-0CE632115FD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H3:I3 H4:H6</xm:sqref>
        </x14:conditionalFormatting>
        <x14:conditionalFormatting xmlns:xm="http://schemas.microsoft.com/office/excel/2006/main">
          <x14:cfRule type="dataBar" id="{954CF9F3-CCC8-4D31-A874-CC11B0B0F3B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H3:I3 H4:H6</xm:sqref>
        </x14:conditionalFormatting>
        <x14:conditionalFormatting xmlns:xm="http://schemas.microsoft.com/office/excel/2006/main">
          <x14:cfRule type="dataBar" id="{2BE1EC49-089A-4C3B-A01D-DBB67493F97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H3:I3 H4:H6</xm:sqref>
        </x14:conditionalFormatting>
        <x14:conditionalFormatting xmlns:xm="http://schemas.microsoft.com/office/excel/2006/main" pivot="1">
          <x14:cfRule type="dataBar" id="{07A7A7C9-A024-4F7C-AE3C-5A5180A2AA4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J12:J18</xm:sqref>
        </x14:conditionalFormatting>
        <x14:conditionalFormatting xmlns:xm="http://schemas.microsoft.com/office/excel/2006/main">
          <x14:cfRule type="dataBar" id="{C113875F-A13D-4933-AC99-C1975EB0EE9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H3:I3 H4:H6</xm:sqref>
        </x14:conditionalFormatting>
        <x14:conditionalFormatting xmlns:xm="http://schemas.microsoft.com/office/excel/2006/main">
          <x14:cfRule type="dataBar" id="{1E567A04-EC28-480B-940B-17D3C4D09FD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H3:I3 H4:H6</xm:sqref>
        </x14:conditionalFormatting>
        <x14:conditionalFormatting xmlns:xm="http://schemas.microsoft.com/office/excel/2006/main">
          <x14:cfRule type="dataBar" id="{21072515-E7B8-4F11-A9E4-B0E409D1AC2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H3:I3 H4:H6</xm:sqref>
        </x14:conditionalFormatting>
      </x14:conditionalFormattings>
    </ext>
    <ext xmlns:x14="http://schemas.microsoft.com/office/spreadsheetml/2009/9/main" uri="{A8765BA9-456A-4dab-B4F3-ACF838C121DE}">
      <x14:slicerList>
        <x14:slicer r:id="rId7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"/>
  <sheetViews>
    <sheetView workbookViewId="0">
      <selection activeCell="C38" sqref="C38"/>
    </sheetView>
  </sheetViews>
  <sheetFormatPr defaultRowHeight="15" x14ac:dyDescent="0.25"/>
  <cols>
    <col min="2" max="2" width="18.140625" bestFit="1" customWidth="1"/>
    <col min="3" max="3" width="20.85546875" bestFit="1" customWidth="1"/>
    <col min="4" max="4" width="12.140625" customWidth="1"/>
    <col min="5" max="5" width="10.140625" bestFit="1" customWidth="1"/>
    <col min="7" max="7" width="14.28515625" bestFit="1" customWidth="1"/>
    <col min="8" max="9" width="16.7109375" bestFit="1" customWidth="1"/>
  </cols>
  <sheetData>
    <row r="1" spans="1:8" ht="23.25" customHeight="1" x14ac:dyDescent="0.25">
      <c r="A1" s="4" t="s">
        <v>23</v>
      </c>
      <c r="B1" s="4" t="s">
        <v>24</v>
      </c>
      <c r="C1" s="4" t="s">
        <v>25</v>
      </c>
      <c r="D1" s="4" t="s">
        <v>26</v>
      </c>
      <c r="E1" s="4" t="s">
        <v>5</v>
      </c>
      <c r="G1" s="16" t="s">
        <v>5</v>
      </c>
      <c r="H1" t="s">
        <v>31</v>
      </c>
    </row>
    <row r="2" spans="1:8" x14ac:dyDescent="0.25">
      <c r="A2" s="2">
        <v>1</v>
      </c>
      <c r="B2" t="s">
        <v>27</v>
      </c>
      <c r="C2" t="s">
        <v>28</v>
      </c>
      <c r="D2" s="1">
        <v>100</v>
      </c>
      <c r="E2" s="1" t="s">
        <v>9</v>
      </c>
    </row>
    <row r="3" spans="1:8" x14ac:dyDescent="0.25">
      <c r="A3" s="2">
        <v>2</v>
      </c>
      <c r="B3" t="s">
        <v>29</v>
      </c>
      <c r="C3" t="s">
        <v>30</v>
      </c>
      <c r="D3" s="1">
        <v>20</v>
      </c>
      <c r="E3" s="1" t="s">
        <v>31</v>
      </c>
      <c r="G3" s="16" t="s">
        <v>25</v>
      </c>
      <c r="H3" t="s">
        <v>76</v>
      </c>
    </row>
    <row r="4" spans="1:8" x14ac:dyDescent="0.25">
      <c r="A4" s="2">
        <v>3</v>
      </c>
      <c r="B4" t="s">
        <v>32</v>
      </c>
      <c r="C4" t="s">
        <v>33</v>
      </c>
      <c r="D4" s="1">
        <v>50</v>
      </c>
      <c r="E4" s="1" t="s">
        <v>9</v>
      </c>
      <c r="G4" t="s">
        <v>30</v>
      </c>
      <c r="H4" s="24">
        <v>20</v>
      </c>
    </row>
    <row r="5" spans="1:8" x14ac:dyDescent="0.25">
      <c r="A5" s="2">
        <v>4</v>
      </c>
      <c r="B5" t="s">
        <v>34</v>
      </c>
      <c r="C5" t="s">
        <v>35</v>
      </c>
      <c r="D5" s="1">
        <v>10</v>
      </c>
      <c r="E5" s="1" t="s">
        <v>36</v>
      </c>
      <c r="G5" t="s">
        <v>35</v>
      </c>
      <c r="H5" s="24">
        <v>5</v>
      </c>
    </row>
    <row r="6" spans="1:8" x14ac:dyDescent="0.25">
      <c r="A6" s="2">
        <v>5</v>
      </c>
      <c r="B6" t="s">
        <v>37</v>
      </c>
      <c r="C6" t="s">
        <v>33</v>
      </c>
      <c r="D6" s="1">
        <v>50</v>
      </c>
      <c r="E6" s="1" t="s">
        <v>31</v>
      </c>
      <c r="G6" t="s">
        <v>33</v>
      </c>
      <c r="H6" s="24">
        <v>50</v>
      </c>
    </row>
    <row r="7" spans="1:8" x14ac:dyDescent="0.25">
      <c r="A7" s="2">
        <v>6</v>
      </c>
      <c r="B7" t="s">
        <v>8</v>
      </c>
      <c r="C7" t="s">
        <v>33</v>
      </c>
      <c r="D7" s="1">
        <v>1</v>
      </c>
      <c r="E7" s="1" t="s">
        <v>36</v>
      </c>
      <c r="G7" t="s">
        <v>71</v>
      </c>
      <c r="H7" s="24">
        <v>75</v>
      </c>
    </row>
    <row r="8" spans="1:8" x14ac:dyDescent="0.25">
      <c r="A8" s="2">
        <v>7</v>
      </c>
      <c r="B8" t="s">
        <v>38</v>
      </c>
      <c r="C8" t="s">
        <v>30</v>
      </c>
      <c r="D8" s="1">
        <v>1</v>
      </c>
      <c r="E8" s="1" t="s">
        <v>9</v>
      </c>
    </row>
    <row r="9" spans="1:8" x14ac:dyDescent="0.25">
      <c r="A9" s="2">
        <v>8</v>
      </c>
      <c r="B9" t="s">
        <v>39</v>
      </c>
      <c r="C9" t="s">
        <v>35</v>
      </c>
      <c r="D9" s="1">
        <v>5</v>
      </c>
      <c r="E9" s="1" t="s">
        <v>31</v>
      </c>
    </row>
    <row r="10" spans="1:8" x14ac:dyDescent="0.25">
      <c r="A10" s="2">
        <v>9</v>
      </c>
      <c r="B10" t="s">
        <v>40</v>
      </c>
      <c r="C10" t="s">
        <v>28</v>
      </c>
      <c r="D10" s="1">
        <v>3</v>
      </c>
      <c r="E10" s="1" t="s">
        <v>36</v>
      </c>
    </row>
  </sheetData>
  <pageMargins left="0.7" right="0.7" top="0.75" bottom="0.75" header="0.3" footer="0.3"/>
  <drawing r:id="rId2"/>
  <tableParts count="1">
    <tablePart r:id="rId3"/>
  </tableParts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56"/>
  <sheetViews>
    <sheetView tabSelected="1" zoomScale="85" workbookViewId="0">
      <selection activeCell="L2" sqref="L2"/>
    </sheetView>
  </sheetViews>
  <sheetFormatPr defaultRowHeight="15" x14ac:dyDescent="0.25"/>
  <cols>
    <col min="1" max="1" width="18.28515625" style="1" customWidth="1"/>
    <col min="2" max="2" width="14.42578125" style="6" customWidth="1"/>
    <col min="3" max="3" width="13.5703125" style="6" bestFit="1" customWidth="1"/>
    <col min="4" max="4" width="10.140625" style="6" customWidth="1"/>
    <col min="5" max="5" width="8.7109375" style="6"/>
    <col min="6" max="6" width="19.42578125" style="6" customWidth="1"/>
    <col min="7" max="7" width="19.5703125" style="6" customWidth="1"/>
    <col min="8" max="8" width="15.140625" style="6" bestFit="1" customWidth="1"/>
    <col min="9" max="9" width="16.5703125" style="6" customWidth="1"/>
    <col min="10" max="10" width="29.140625" style="6" customWidth="1"/>
    <col min="11" max="11" width="8.7109375" style="6"/>
    <col min="12" max="12" width="18.7109375" bestFit="1" customWidth="1"/>
    <col min="13" max="13" width="24.42578125" bestFit="1" customWidth="1"/>
    <col min="14" max="14" width="21.42578125" bestFit="1" customWidth="1"/>
    <col min="15" max="16" width="34.42578125" bestFit="1" customWidth="1"/>
  </cols>
  <sheetData>
    <row r="1" spans="1:15" x14ac:dyDescent="0.25">
      <c r="A1" s="5" t="s">
        <v>41</v>
      </c>
      <c r="B1" s="7" t="s">
        <v>5</v>
      </c>
      <c r="C1" s="7" t="s">
        <v>42</v>
      </c>
      <c r="D1" s="7" t="s">
        <v>43</v>
      </c>
      <c r="E1" s="7" t="s">
        <v>44</v>
      </c>
      <c r="F1" s="7" t="s">
        <v>45</v>
      </c>
      <c r="G1" s="7" t="s">
        <v>3</v>
      </c>
      <c r="H1" s="7" t="s">
        <v>46</v>
      </c>
      <c r="I1" s="7" t="s">
        <v>47</v>
      </c>
      <c r="J1" s="8" t="s">
        <v>48</v>
      </c>
    </row>
    <row r="2" spans="1:15" x14ac:dyDescent="0.25">
      <c r="A2" s="10">
        <v>43845</v>
      </c>
      <c r="B2" s="11" t="s">
        <v>12</v>
      </c>
      <c r="C2" s="11" t="s">
        <v>54</v>
      </c>
      <c r="D2" s="11" t="s">
        <v>55</v>
      </c>
      <c r="E2" s="12">
        <v>35</v>
      </c>
      <c r="F2" s="13">
        <v>4.99</v>
      </c>
      <c r="G2" s="13">
        <f t="shared" ref="G2:G33" si="0">F2*E2</f>
        <v>174.65</v>
      </c>
      <c r="H2" s="14">
        <v>0.1</v>
      </c>
      <c r="I2" s="15">
        <f t="shared" ref="I2:I33" si="1">H2*G2</f>
        <v>17.465</v>
      </c>
      <c r="J2" s="13">
        <f t="shared" ref="J2:J33" si="2">G2-I2</f>
        <v>157.185</v>
      </c>
      <c r="L2" s="22" t="s">
        <v>70</v>
      </c>
      <c r="M2" s="19" t="s">
        <v>72</v>
      </c>
      <c r="N2" s="19" t="s">
        <v>77</v>
      </c>
      <c r="O2" s="19" t="s">
        <v>78</v>
      </c>
    </row>
    <row r="3" spans="1:15" x14ac:dyDescent="0.25">
      <c r="A3" s="10">
        <v>44146</v>
      </c>
      <c r="B3" s="11" t="s">
        <v>12</v>
      </c>
      <c r="C3" s="11" t="s">
        <v>54</v>
      </c>
      <c r="D3" s="11" t="s">
        <v>60</v>
      </c>
      <c r="E3" s="12">
        <v>1</v>
      </c>
      <c r="F3" s="13">
        <v>125.6</v>
      </c>
      <c r="G3" s="13">
        <f t="shared" si="0"/>
        <v>125.6</v>
      </c>
      <c r="H3" s="9">
        <v>0.05</v>
      </c>
      <c r="I3" s="15">
        <f t="shared" si="1"/>
        <v>6.28</v>
      </c>
      <c r="J3" s="13">
        <f t="shared" si="2"/>
        <v>119.32</v>
      </c>
      <c r="L3" s="23" t="s">
        <v>55</v>
      </c>
      <c r="M3" s="19">
        <v>1252.48</v>
      </c>
      <c r="N3" s="19">
        <v>69.150000000000006</v>
      </c>
      <c r="O3" s="19">
        <v>1183.33</v>
      </c>
    </row>
    <row r="4" spans="1:15" x14ac:dyDescent="0.25">
      <c r="A4" s="10">
        <v>43877</v>
      </c>
      <c r="B4" s="11" t="s">
        <v>12</v>
      </c>
      <c r="C4" s="11" t="s">
        <v>54</v>
      </c>
      <c r="D4" s="11" t="s">
        <v>50</v>
      </c>
      <c r="E4" s="12">
        <v>8</v>
      </c>
      <c r="F4" s="13">
        <v>19.989999999999998</v>
      </c>
      <c r="G4" s="13">
        <f t="shared" si="0"/>
        <v>159.91999999999999</v>
      </c>
      <c r="H4" s="14">
        <v>0.1</v>
      </c>
      <c r="I4" s="15">
        <f t="shared" si="1"/>
        <v>15.991999999999999</v>
      </c>
      <c r="J4" s="13">
        <f t="shared" si="2"/>
        <v>143.928</v>
      </c>
      <c r="L4" s="23" t="s">
        <v>59</v>
      </c>
      <c r="M4" s="19">
        <v>333</v>
      </c>
      <c r="N4" s="19">
        <v>14.4</v>
      </c>
      <c r="O4" s="19">
        <v>318.60000000000002</v>
      </c>
    </row>
    <row r="5" spans="1:15" x14ac:dyDescent="0.25">
      <c r="A5" s="10">
        <v>43884</v>
      </c>
      <c r="B5" s="11" t="s">
        <v>12</v>
      </c>
      <c r="C5" s="11" t="s">
        <v>64</v>
      </c>
      <c r="D5" s="11" t="s">
        <v>63</v>
      </c>
      <c r="E5" s="12">
        <v>50</v>
      </c>
      <c r="F5" s="13">
        <v>2.5</v>
      </c>
      <c r="G5" s="13">
        <f t="shared" si="0"/>
        <v>125</v>
      </c>
      <c r="H5" s="9">
        <v>0.02</v>
      </c>
      <c r="I5" s="15">
        <f t="shared" si="1"/>
        <v>2.5</v>
      </c>
      <c r="J5" s="13">
        <f t="shared" si="2"/>
        <v>122.5</v>
      </c>
      <c r="L5" s="23" t="s">
        <v>60</v>
      </c>
      <c r="M5" s="19">
        <v>1130.3999999999999</v>
      </c>
      <c r="N5" s="19">
        <v>56.52</v>
      </c>
      <c r="O5" s="19">
        <v>1073.8800000000001</v>
      </c>
    </row>
    <row r="6" spans="1:15" x14ac:dyDescent="0.25">
      <c r="A6" s="10">
        <v>43891</v>
      </c>
      <c r="B6" s="11" t="s">
        <v>12</v>
      </c>
      <c r="C6" s="11" t="s">
        <v>64</v>
      </c>
      <c r="D6" s="11" t="s">
        <v>62</v>
      </c>
      <c r="E6" s="12">
        <v>10</v>
      </c>
      <c r="F6" s="13">
        <v>1.99</v>
      </c>
      <c r="G6" s="13">
        <f t="shared" si="0"/>
        <v>19.899999999999999</v>
      </c>
      <c r="H6" s="14">
        <v>0.05</v>
      </c>
      <c r="I6" s="15">
        <f t="shared" si="1"/>
        <v>0.995</v>
      </c>
      <c r="J6" s="13">
        <f t="shared" si="2"/>
        <v>18.904999999999998</v>
      </c>
      <c r="L6" s="23" t="s">
        <v>69</v>
      </c>
      <c r="M6" s="19">
        <v>338</v>
      </c>
      <c r="N6" s="19">
        <v>1.56</v>
      </c>
      <c r="O6" s="19">
        <v>336.44</v>
      </c>
    </row>
    <row r="7" spans="1:15" x14ac:dyDescent="0.25">
      <c r="A7" s="10">
        <v>43905</v>
      </c>
      <c r="B7" s="11" t="s">
        <v>12</v>
      </c>
      <c r="C7" s="11" t="s">
        <v>64</v>
      </c>
      <c r="D7" s="11" t="s">
        <v>50</v>
      </c>
      <c r="E7" s="12">
        <v>6</v>
      </c>
      <c r="F7" s="13">
        <v>17.899999999999999</v>
      </c>
      <c r="G7" s="13">
        <f t="shared" si="0"/>
        <v>107.39999999999999</v>
      </c>
      <c r="H7" s="14">
        <v>0</v>
      </c>
      <c r="I7" s="15">
        <f t="shared" si="1"/>
        <v>0</v>
      </c>
      <c r="J7" s="13">
        <f t="shared" si="2"/>
        <v>107.39999999999999</v>
      </c>
      <c r="L7" s="23" t="s">
        <v>62</v>
      </c>
      <c r="M7" s="19">
        <v>261.23</v>
      </c>
      <c r="N7" s="19">
        <v>6.2456000000000005</v>
      </c>
      <c r="O7" s="19">
        <v>254.98439999999997</v>
      </c>
    </row>
    <row r="8" spans="1:15" x14ac:dyDescent="0.25">
      <c r="A8" s="10">
        <v>43938</v>
      </c>
      <c r="B8" s="11" t="s">
        <v>12</v>
      </c>
      <c r="C8" s="11" t="s">
        <v>64</v>
      </c>
      <c r="D8" s="11" t="s">
        <v>62</v>
      </c>
      <c r="E8" s="12">
        <v>25</v>
      </c>
      <c r="F8" s="13">
        <v>1.99</v>
      </c>
      <c r="G8" s="13">
        <f t="shared" si="0"/>
        <v>49.75</v>
      </c>
      <c r="H8" s="14">
        <v>0</v>
      </c>
      <c r="I8" s="15">
        <f t="shared" si="1"/>
        <v>0</v>
      </c>
      <c r="J8" s="13">
        <f t="shared" si="2"/>
        <v>49.75</v>
      </c>
      <c r="L8" s="23" t="s">
        <v>57</v>
      </c>
      <c r="M8" s="19">
        <v>3750</v>
      </c>
      <c r="N8" s="19">
        <v>81.25</v>
      </c>
      <c r="O8" s="19">
        <v>3668.75</v>
      </c>
    </row>
    <row r="9" spans="1:15" x14ac:dyDescent="0.25">
      <c r="A9" s="10">
        <v>43963</v>
      </c>
      <c r="B9" s="11" t="s">
        <v>12</v>
      </c>
      <c r="C9" s="11" t="s">
        <v>67</v>
      </c>
      <c r="D9" s="11" t="s">
        <v>50</v>
      </c>
      <c r="E9" s="12">
        <v>6</v>
      </c>
      <c r="F9" s="13">
        <v>17.899999999999999</v>
      </c>
      <c r="G9" s="13">
        <f t="shared" si="0"/>
        <v>107.39999999999999</v>
      </c>
      <c r="H9" s="14">
        <v>0.1</v>
      </c>
      <c r="I9" s="15">
        <f t="shared" si="1"/>
        <v>10.74</v>
      </c>
      <c r="J9" s="13">
        <f t="shared" si="2"/>
        <v>96.66</v>
      </c>
      <c r="L9" s="23" t="s">
        <v>63</v>
      </c>
      <c r="M9" s="19">
        <v>574.65</v>
      </c>
      <c r="N9" s="19">
        <v>23.465</v>
      </c>
      <c r="O9" s="19">
        <v>551.18499999999995</v>
      </c>
    </row>
    <row r="10" spans="1:15" x14ac:dyDescent="0.25">
      <c r="A10" s="10">
        <v>43968</v>
      </c>
      <c r="B10" s="11" t="s">
        <v>12</v>
      </c>
      <c r="C10" s="11" t="s">
        <v>54</v>
      </c>
      <c r="D10" s="11" t="s">
        <v>63</v>
      </c>
      <c r="E10" s="12">
        <v>35</v>
      </c>
      <c r="F10" s="13">
        <v>4.99</v>
      </c>
      <c r="G10" s="13">
        <f t="shared" si="0"/>
        <v>174.65</v>
      </c>
      <c r="H10" s="9">
        <v>0.1</v>
      </c>
      <c r="I10" s="15">
        <f t="shared" si="1"/>
        <v>17.465</v>
      </c>
      <c r="J10" s="13">
        <f t="shared" si="2"/>
        <v>157.185</v>
      </c>
      <c r="L10" s="23" t="s">
        <v>53</v>
      </c>
      <c r="M10" s="19">
        <v>424.66</v>
      </c>
      <c r="N10" s="19">
        <v>39.968000000000004</v>
      </c>
      <c r="O10" s="19">
        <v>384.69200000000001</v>
      </c>
    </row>
    <row r="11" spans="1:15" x14ac:dyDescent="0.25">
      <c r="A11" s="10">
        <v>43979</v>
      </c>
      <c r="B11" s="11" t="s">
        <v>12</v>
      </c>
      <c r="C11" s="11" t="s">
        <v>68</v>
      </c>
      <c r="D11" s="11" t="s">
        <v>63</v>
      </c>
      <c r="E11" s="12">
        <v>35</v>
      </c>
      <c r="F11" s="13">
        <v>2.5</v>
      </c>
      <c r="G11" s="13">
        <f t="shared" si="0"/>
        <v>87.5</v>
      </c>
      <c r="H11" s="9">
        <v>0.02</v>
      </c>
      <c r="I11" s="15">
        <f t="shared" si="1"/>
        <v>1.75</v>
      </c>
      <c r="J11" s="13">
        <f t="shared" si="2"/>
        <v>85.75</v>
      </c>
      <c r="L11" s="23" t="s">
        <v>50</v>
      </c>
      <c r="M11" s="19">
        <v>1559.1899999999998</v>
      </c>
      <c r="N11" s="19">
        <v>48.684599999999989</v>
      </c>
      <c r="O11" s="19">
        <v>1510.5054</v>
      </c>
    </row>
    <row r="12" spans="1:15" x14ac:dyDescent="0.25">
      <c r="A12" s="10">
        <v>43992</v>
      </c>
      <c r="B12" s="11" t="s">
        <v>12</v>
      </c>
      <c r="C12" s="11" t="s">
        <v>67</v>
      </c>
      <c r="D12" s="11" t="s">
        <v>62</v>
      </c>
      <c r="E12" s="12">
        <v>20</v>
      </c>
      <c r="F12" s="13">
        <v>1.29</v>
      </c>
      <c r="G12" s="13">
        <f t="shared" si="0"/>
        <v>25.8</v>
      </c>
      <c r="H12" s="14">
        <v>0.02</v>
      </c>
      <c r="I12" s="15">
        <f t="shared" si="1"/>
        <v>0.51600000000000001</v>
      </c>
      <c r="J12" s="13">
        <f t="shared" si="2"/>
        <v>25.283999999999999</v>
      </c>
      <c r="L12" s="23" t="s">
        <v>71</v>
      </c>
      <c r="M12" s="19">
        <v>9623.61</v>
      </c>
      <c r="N12" s="19">
        <v>341.2432</v>
      </c>
      <c r="O12" s="19">
        <v>9282.3667999999998</v>
      </c>
    </row>
    <row r="13" spans="1:15" x14ac:dyDescent="0.25">
      <c r="A13" s="10">
        <v>43986</v>
      </c>
      <c r="B13" s="11" t="s">
        <v>12</v>
      </c>
      <c r="C13" s="11" t="s">
        <v>68</v>
      </c>
      <c r="D13" s="11" t="s">
        <v>50</v>
      </c>
      <c r="E13" s="12">
        <v>4</v>
      </c>
      <c r="F13" s="13">
        <v>19.989999999999998</v>
      </c>
      <c r="G13" s="13">
        <f t="shared" si="0"/>
        <v>79.959999999999994</v>
      </c>
      <c r="H13" s="14">
        <v>0</v>
      </c>
      <c r="I13" s="15">
        <f t="shared" si="1"/>
        <v>0</v>
      </c>
      <c r="J13" s="13">
        <f t="shared" si="2"/>
        <v>79.959999999999994</v>
      </c>
    </row>
    <row r="14" spans="1:15" x14ac:dyDescent="0.25">
      <c r="A14" s="10">
        <v>44008</v>
      </c>
      <c r="B14" s="11" t="s">
        <v>12</v>
      </c>
      <c r="C14" s="11" t="s">
        <v>54</v>
      </c>
      <c r="D14" s="11" t="s">
        <v>60</v>
      </c>
      <c r="E14" s="12">
        <v>2</v>
      </c>
      <c r="F14" s="13">
        <v>125.6</v>
      </c>
      <c r="G14" s="13">
        <f t="shared" si="0"/>
        <v>251.2</v>
      </c>
      <c r="H14" s="9">
        <v>0.05</v>
      </c>
      <c r="I14" s="15">
        <f t="shared" si="1"/>
        <v>12.56</v>
      </c>
      <c r="J14" s="13">
        <f t="shared" si="2"/>
        <v>238.64</v>
      </c>
    </row>
    <row r="15" spans="1:15" x14ac:dyDescent="0.25">
      <c r="A15" s="10">
        <v>44025</v>
      </c>
      <c r="B15" s="11" t="s">
        <v>12</v>
      </c>
      <c r="C15" s="11" t="s">
        <v>67</v>
      </c>
      <c r="D15" s="11" t="s">
        <v>55</v>
      </c>
      <c r="E15" s="12">
        <v>25</v>
      </c>
      <c r="F15" s="13">
        <v>4.99</v>
      </c>
      <c r="G15" s="13">
        <f t="shared" si="0"/>
        <v>124.75</v>
      </c>
      <c r="H15" s="14">
        <v>0.02</v>
      </c>
      <c r="I15" s="15">
        <f t="shared" si="1"/>
        <v>2.4950000000000001</v>
      </c>
      <c r="J15" s="13">
        <f t="shared" si="2"/>
        <v>122.255</v>
      </c>
    </row>
    <row r="16" spans="1:15" x14ac:dyDescent="0.25">
      <c r="A16" s="10">
        <v>44031</v>
      </c>
      <c r="B16" s="11" t="s">
        <v>12</v>
      </c>
      <c r="C16" s="11" t="s">
        <v>68</v>
      </c>
      <c r="D16" s="11" t="s">
        <v>69</v>
      </c>
      <c r="E16" s="12">
        <v>35</v>
      </c>
      <c r="F16" s="13">
        <v>6.5</v>
      </c>
      <c r="G16" s="13">
        <f t="shared" si="0"/>
        <v>227.5</v>
      </c>
      <c r="H16" s="14">
        <v>0</v>
      </c>
      <c r="I16" s="15">
        <f t="shared" si="1"/>
        <v>0</v>
      </c>
      <c r="J16" s="13">
        <f t="shared" si="2"/>
        <v>227.5</v>
      </c>
    </row>
    <row r="17" spans="1:10" x14ac:dyDescent="0.25">
      <c r="A17" s="10">
        <v>44086</v>
      </c>
      <c r="B17" s="11" t="s">
        <v>12</v>
      </c>
      <c r="C17" s="11" t="s">
        <v>67</v>
      </c>
      <c r="D17" s="11" t="s">
        <v>50</v>
      </c>
      <c r="E17" s="12">
        <v>4</v>
      </c>
      <c r="F17" s="13">
        <v>19.989999999999998</v>
      </c>
      <c r="G17" s="13">
        <f t="shared" si="0"/>
        <v>79.959999999999994</v>
      </c>
      <c r="H17" s="14">
        <v>0</v>
      </c>
      <c r="I17" s="15">
        <f t="shared" si="1"/>
        <v>0</v>
      </c>
      <c r="J17" s="13">
        <f t="shared" si="2"/>
        <v>79.959999999999994</v>
      </c>
    </row>
    <row r="18" spans="1:10" x14ac:dyDescent="0.25">
      <c r="A18" s="10">
        <v>44098</v>
      </c>
      <c r="B18" s="11" t="s">
        <v>12</v>
      </c>
      <c r="C18" s="11" t="s">
        <v>68</v>
      </c>
      <c r="D18" s="11" t="s">
        <v>57</v>
      </c>
      <c r="E18" s="12">
        <v>50</v>
      </c>
      <c r="F18" s="13">
        <v>25</v>
      </c>
      <c r="G18" s="13">
        <f t="shared" si="0"/>
        <v>1250</v>
      </c>
      <c r="H18" s="14">
        <v>0.02</v>
      </c>
      <c r="I18" s="15">
        <f t="shared" si="1"/>
        <v>25</v>
      </c>
      <c r="J18" s="13">
        <f t="shared" si="2"/>
        <v>1225</v>
      </c>
    </row>
    <row r="19" spans="1:10" x14ac:dyDescent="0.25">
      <c r="A19" s="10">
        <v>44117</v>
      </c>
      <c r="B19" s="11" t="s">
        <v>12</v>
      </c>
      <c r="C19" s="11" t="s">
        <v>67</v>
      </c>
      <c r="D19" s="11" t="s">
        <v>62</v>
      </c>
      <c r="E19" s="12">
        <v>10</v>
      </c>
      <c r="F19" s="13">
        <v>1.29</v>
      </c>
      <c r="G19" s="13">
        <f t="shared" si="0"/>
        <v>12.9</v>
      </c>
      <c r="H19" s="14">
        <v>0.05</v>
      </c>
      <c r="I19" s="15">
        <f t="shared" si="1"/>
        <v>0.64500000000000002</v>
      </c>
      <c r="J19" s="13">
        <f t="shared" si="2"/>
        <v>12.255000000000001</v>
      </c>
    </row>
    <row r="20" spans="1:10" x14ac:dyDescent="0.25">
      <c r="A20" s="10">
        <v>44155</v>
      </c>
      <c r="B20" s="11" t="s">
        <v>12</v>
      </c>
      <c r="C20" s="11" t="s">
        <v>68</v>
      </c>
      <c r="D20" s="11" t="s">
        <v>53</v>
      </c>
      <c r="E20" s="12">
        <v>4</v>
      </c>
      <c r="F20" s="13">
        <v>12.49</v>
      </c>
      <c r="G20" s="13">
        <f t="shared" si="0"/>
        <v>49.96</v>
      </c>
      <c r="H20" s="14">
        <v>0.05</v>
      </c>
      <c r="I20" s="15">
        <f t="shared" si="1"/>
        <v>2.4980000000000002</v>
      </c>
      <c r="J20" s="13">
        <f t="shared" si="2"/>
        <v>47.462000000000003</v>
      </c>
    </row>
    <row r="21" spans="1:10" x14ac:dyDescent="0.25">
      <c r="A21" s="10">
        <v>44125</v>
      </c>
      <c r="B21" s="11" t="s">
        <v>12</v>
      </c>
      <c r="C21" s="11" t="s">
        <v>64</v>
      </c>
      <c r="D21" s="11" t="s">
        <v>62</v>
      </c>
      <c r="E21" s="12">
        <v>15</v>
      </c>
      <c r="F21" s="13">
        <v>1.29</v>
      </c>
      <c r="G21" s="13">
        <f t="shared" si="0"/>
        <v>19.350000000000001</v>
      </c>
      <c r="H21" s="14">
        <v>0.05</v>
      </c>
      <c r="I21" s="15">
        <f t="shared" si="1"/>
        <v>0.96750000000000014</v>
      </c>
      <c r="J21" s="13">
        <f t="shared" si="2"/>
        <v>18.3825</v>
      </c>
    </row>
    <row r="22" spans="1:10" x14ac:dyDescent="0.25">
      <c r="A22" s="10">
        <v>44171</v>
      </c>
      <c r="B22" s="11" t="s">
        <v>12</v>
      </c>
      <c r="C22" s="11" t="s">
        <v>54</v>
      </c>
      <c r="D22" s="11" t="s">
        <v>53</v>
      </c>
      <c r="E22" s="12">
        <v>20</v>
      </c>
      <c r="F22" s="13">
        <v>12.49</v>
      </c>
      <c r="G22" s="13">
        <f t="shared" si="0"/>
        <v>249.8</v>
      </c>
      <c r="H22" s="14">
        <v>0.1</v>
      </c>
      <c r="I22" s="15">
        <f t="shared" si="1"/>
        <v>24.980000000000004</v>
      </c>
      <c r="J22" s="13">
        <f t="shared" si="2"/>
        <v>224.82</v>
      </c>
    </row>
    <row r="23" spans="1:10" x14ac:dyDescent="0.25">
      <c r="A23" s="10">
        <v>43852</v>
      </c>
      <c r="B23" s="11" t="s">
        <v>51</v>
      </c>
      <c r="C23" s="11" t="s">
        <v>52</v>
      </c>
      <c r="D23" s="11" t="s">
        <v>53</v>
      </c>
      <c r="E23" s="12">
        <v>10</v>
      </c>
      <c r="F23" s="13">
        <v>12.49</v>
      </c>
      <c r="G23" s="13">
        <f t="shared" si="0"/>
        <v>124.9</v>
      </c>
      <c r="H23" s="14">
        <v>0.1</v>
      </c>
      <c r="I23" s="15">
        <f t="shared" si="1"/>
        <v>12.490000000000002</v>
      </c>
      <c r="J23" s="13">
        <f t="shared" si="2"/>
        <v>112.41</v>
      </c>
    </row>
    <row r="24" spans="1:10" x14ac:dyDescent="0.25">
      <c r="A24" s="10">
        <v>43919</v>
      </c>
      <c r="B24" s="11" t="s">
        <v>51</v>
      </c>
      <c r="C24" s="11" t="s">
        <v>52</v>
      </c>
      <c r="D24" s="11" t="s">
        <v>62</v>
      </c>
      <c r="E24" s="12">
        <v>5</v>
      </c>
      <c r="F24" s="13">
        <v>1.29</v>
      </c>
      <c r="G24" s="13">
        <f t="shared" si="0"/>
        <v>6.45</v>
      </c>
      <c r="H24" s="14">
        <v>0.05</v>
      </c>
      <c r="I24" s="15">
        <f t="shared" si="1"/>
        <v>0.32250000000000001</v>
      </c>
      <c r="J24" s="13">
        <f t="shared" si="2"/>
        <v>6.1275000000000004</v>
      </c>
    </row>
    <row r="25" spans="1:10" x14ac:dyDescent="0.25">
      <c r="A25" s="10">
        <v>43933</v>
      </c>
      <c r="B25" s="11" t="s">
        <v>51</v>
      </c>
      <c r="C25" s="11" t="s">
        <v>65</v>
      </c>
      <c r="D25" s="11" t="s">
        <v>62</v>
      </c>
      <c r="E25" s="12">
        <v>15</v>
      </c>
      <c r="F25" s="13">
        <v>1.29</v>
      </c>
      <c r="G25" s="13">
        <f t="shared" si="0"/>
        <v>19.350000000000001</v>
      </c>
      <c r="H25" s="14">
        <v>0</v>
      </c>
      <c r="I25" s="15">
        <f t="shared" si="1"/>
        <v>0</v>
      </c>
      <c r="J25" s="13">
        <f t="shared" si="2"/>
        <v>19.350000000000001</v>
      </c>
    </row>
    <row r="26" spans="1:10" x14ac:dyDescent="0.25">
      <c r="A26" s="10">
        <v>43947</v>
      </c>
      <c r="B26" s="11" t="s">
        <v>51</v>
      </c>
      <c r="C26" s="11" t="s">
        <v>52</v>
      </c>
      <c r="D26" s="11" t="s">
        <v>50</v>
      </c>
      <c r="E26" s="12">
        <v>2</v>
      </c>
      <c r="F26" s="13">
        <v>19.989999999999998</v>
      </c>
      <c r="G26" s="13">
        <f t="shared" si="0"/>
        <v>39.979999999999997</v>
      </c>
      <c r="H26" s="14">
        <v>0.05</v>
      </c>
      <c r="I26" s="15">
        <f t="shared" si="1"/>
        <v>1.9989999999999999</v>
      </c>
      <c r="J26" s="13">
        <f t="shared" si="2"/>
        <v>37.980999999999995</v>
      </c>
    </row>
    <row r="27" spans="1:10" x14ac:dyDescent="0.25">
      <c r="A27" s="10">
        <v>43956</v>
      </c>
      <c r="B27" s="11" t="s">
        <v>51</v>
      </c>
      <c r="C27" s="11" t="s">
        <v>66</v>
      </c>
      <c r="D27" s="11" t="s">
        <v>62</v>
      </c>
      <c r="E27" s="12">
        <v>12</v>
      </c>
      <c r="F27" s="13">
        <v>1.99</v>
      </c>
      <c r="G27" s="13">
        <f t="shared" si="0"/>
        <v>23.88</v>
      </c>
      <c r="H27" s="14">
        <v>0.02</v>
      </c>
      <c r="I27" s="15">
        <f t="shared" si="1"/>
        <v>0.47759999999999997</v>
      </c>
      <c r="J27" s="13">
        <f t="shared" si="2"/>
        <v>23.4024</v>
      </c>
    </row>
    <row r="28" spans="1:10" x14ac:dyDescent="0.25">
      <c r="A28" s="10">
        <v>43959</v>
      </c>
      <c r="B28" s="11" t="s">
        <v>51</v>
      </c>
      <c r="C28" s="11" t="s">
        <v>65</v>
      </c>
      <c r="D28" s="11" t="s">
        <v>50</v>
      </c>
      <c r="E28" s="12">
        <v>6</v>
      </c>
      <c r="F28" s="13">
        <v>19.989999999999998</v>
      </c>
      <c r="G28" s="13">
        <f t="shared" si="0"/>
        <v>119.94</v>
      </c>
      <c r="H28" s="14">
        <v>0</v>
      </c>
      <c r="I28" s="15">
        <f t="shared" si="1"/>
        <v>0</v>
      </c>
      <c r="J28" s="13">
        <f t="shared" si="2"/>
        <v>119.94</v>
      </c>
    </row>
    <row r="29" spans="1:10" x14ac:dyDescent="0.25">
      <c r="A29" s="10">
        <v>43970</v>
      </c>
      <c r="B29" s="11" t="s">
        <v>51</v>
      </c>
      <c r="C29" s="11" t="s">
        <v>65</v>
      </c>
      <c r="D29" s="11" t="s">
        <v>59</v>
      </c>
      <c r="E29" s="12">
        <v>4</v>
      </c>
      <c r="F29" s="13">
        <v>27</v>
      </c>
      <c r="G29" s="13">
        <f t="shared" si="0"/>
        <v>108</v>
      </c>
      <c r="H29" s="14">
        <v>0.05</v>
      </c>
      <c r="I29" s="15">
        <f t="shared" si="1"/>
        <v>5.4</v>
      </c>
      <c r="J29" s="13">
        <f t="shared" si="2"/>
        <v>102.6</v>
      </c>
    </row>
    <row r="30" spans="1:10" x14ac:dyDescent="0.25">
      <c r="A30" s="10">
        <v>43984</v>
      </c>
      <c r="B30" s="11" t="s">
        <v>51</v>
      </c>
      <c r="C30" s="11" t="s">
        <v>66</v>
      </c>
      <c r="D30" s="11" t="s">
        <v>50</v>
      </c>
      <c r="E30" s="12">
        <v>10</v>
      </c>
      <c r="F30" s="13">
        <v>19.989999999999998</v>
      </c>
      <c r="G30" s="13">
        <f t="shared" si="0"/>
        <v>199.89999999999998</v>
      </c>
      <c r="H30" s="14">
        <v>0</v>
      </c>
      <c r="I30" s="15">
        <f t="shared" si="1"/>
        <v>0</v>
      </c>
      <c r="J30" s="13">
        <f t="shared" si="2"/>
        <v>199.89999999999998</v>
      </c>
    </row>
    <row r="31" spans="1:10" x14ac:dyDescent="0.25">
      <c r="A31" s="10">
        <v>44034</v>
      </c>
      <c r="B31" s="11" t="s">
        <v>51</v>
      </c>
      <c r="C31" s="11" t="s">
        <v>65</v>
      </c>
      <c r="D31" s="11" t="s">
        <v>62</v>
      </c>
      <c r="E31" s="12">
        <v>15</v>
      </c>
      <c r="F31" s="13">
        <v>1.29</v>
      </c>
      <c r="G31" s="13">
        <f t="shared" si="0"/>
        <v>19.350000000000001</v>
      </c>
      <c r="H31" s="14">
        <v>0.02</v>
      </c>
      <c r="I31" s="15">
        <f t="shared" si="1"/>
        <v>0.38700000000000001</v>
      </c>
      <c r="J31" s="13">
        <f t="shared" si="2"/>
        <v>18.963000000000001</v>
      </c>
    </row>
    <row r="32" spans="1:10" x14ac:dyDescent="0.25">
      <c r="A32" s="10">
        <v>44045</v>
      </c>
      <c r="B32" s="11" t="s">
        <v>51</v>
      </c>
      <c r="C32" s="11" t="s">
        <v>65</v>
      </c>
      <c r="D32" s="11" t="s">
        <v>50</v>
      </c>
      <c r="E32" s="12">
        <v>10</v>
      </c>
      <c r="F32" s="13">
        <v>19.989999999999998</v>
      </c>
      <c r="G32" s="13">
        <f t="shared" si="0"/>
        <v>199.89999999999998</v>
      </c>
      <c r="H32" s="14">
        <v>0.05</v>
      </c>
      <c r="I32" s="15">
        <f t="shared" si="1"/>
        <v>9.9949999999999992</v>
      </c>
      <c r="J32" s="13">
        <f t="shared" si="2"/>
        <v>189.90499999999997</v>
      </c>
    </row>
    <row r="33" spans="1:10" x14ac:dyDescent="0.25">
      <c r="A33" s="10">
        <v>44072</v>
      </c>
      <c r="B33" s="11" t="s">
        <v>51</v>
      </c>
      <c r="C33" s="11" t="s">
        <v>65</v>
      </c>
      <c r="D33" s="11" t="s">
        <v>69</v>
      </c>
      <c r="E33" s="12">
        <v>12</v>
      </c>
      <c r="F33" s="13">
        <v>6.5</v>
      </c>
      <c r="G33" s="13">
        <f t="shared" si="0"/>
        <v>78</v>
      </c>
      <c r="H33" s="14">
        <v>0.02</v>
      </c>
      <c r="I33" s="15">
        <f t="shared" si="1"/>
        <v>1.56</v>
      </c>
      <c r="J33" s="13">
        <f t="shared" si="2"/>
        <v>76.44</v>
      </c>
    </row>
    <row r="34" spans="1:10" x14ac:dyDescent="0.25">
      <c r="A34" s="10">
        <v>44092</v>
      </c>
      <c r="B34" s="11" t="s">
        <v>51</v>
      </c>
      <c r="C34" s="11" t="s">
        <v>65</v>
      </c>
      <c r="D34" s="11" t="s">
        <v>55</v>
      </c>
      <c r="E34" s="12">
        <v>16</v>
      </c>
      <c r="F34" s="13">
        <v>6.5</v>
      </c>
      <c r="G34" s="13">
        <f t="shared" ref="G34:G65" si="3">F34*E34</f>
        <v>104</v>
      </c>
      <c r="H34" s="14">
        <v>0.05</v>
      </c>
      <c r="I34" s="15">
        <f t="shared" ref="I34:I65" si="4">H34*G34</f>
        <v>5.2</v>
      </c>
      <c r="J34" s="13">
        <f t="shared" ref="J34:J65" si="5">G34-I34</f>
        <v>98.8</v>
      </c>
    </row>
    <row r="35" spans="1:10" x14ac:dyDescent="0.25">
      <c r="A35" s="10">
        <v>44145</v>
      </c>
      <c r="B35" s="11" t="s">
        <v>51</v>
      </c>
      <c r="C35" s="11" t="s">
        <v>65</v>
      </c>
      <c r="D35" s="11" t="s">
        <v>55</v>
      </c>
      <c r="E35" s="12">
        <v>60</v>
      </c>
      <c r="F35" s="13">
        <v>6.5</v>
      </c>
      <c r="G35" s="13">
        <f t="shared" si="3"/>
        <v>390</v>
      </c>
      <c r="H35" s="14">
        <v>0.1</v>
      </c>
      <c r="I35" s="15">
        <f t="shared" si="4"/>
        <v>39</v>
      </c>
      <c r="J35" s="13">
        <f t="shared" si="5"/>
        <v>351</v>
      </c>
    </row>
    <row r="36" spans="1:10" x14ac:dyDescent="0.25">
      <c r="A36" s="10">
        <v>43844</v>
      </c>
      <c r="B36" s="11" t="s">
        <v>36</v>
      </c>
      <c r="C36" s="11" t="s">
        <v>58</v>
      </c>
      <c r="D36" s="11" t="s">
        <v>50</v>
      </c>
      <c r="E36" s="12">
        <v>7</v>
      </c>
      <c r="F36" s="13">
        <v>19.989999999999998</v>
      </c>
      <c r="G36" s="13">
        <f t="shared" si="3"/>
        <v>139.92999999999998</v>
      </c>
      <c r="H36" s="14">
        <v>0.02</v>
      </c>
      <c r="I36" s="15">
        <f t="shared" si="4"/>
        <v>2.7985999999999995</v>
      </c>
      <c r="J36" s="13">
        <f t="shared" si="5"/>
        <v>137.13139999999999</v>
      </c>
    </row>
    <row r="37" spans="1:10" x14ac:dyDescent="0.25">
      <c r="A37" s="10">
        <v>43863</v>
      </c>
      <c r="B37" s="11" t="s">
        <v>36</v>
      </c>
      <c r="C37" s="11" t="s">
        <v>61</v>
      </c>
      <c r="D37" s="11" t="s">
        <v>55</v>
      </c>
      <c r="E37" s="12">
        <v>50</v>
      </c>
      <c r="F37" s="13">
        <v>4.99</v>
      </c>
      <c r="G37" s="13">
        <f t="shared" si="3"/>
        <v>249.5</v>
      </c>
      <c r="H37" s="14">
        <v>0.02</v>
      </c>
      <c r="I37" s="15">
        <f t="shared" si="4"/>
        <v>4.99</v>
      </c>
      <c r="J37" s="13">
        <f t="shared" si="5"/>
        <v>244.51</v>
      </c>
    </row>
    <row r="38" spans="1:10" x14ac:dyDescent="0.25">
      <c r="A38" s="10">
        <v>43961</v>
      </c>
      <c r="B38" s="11" t="s">
        <v>36</v>
      </c>
      <c r="C38" s="11" t="s">
        <v>58</v>
      </c>
      <c r="D38" s="11" t="s">
        <v>57</v>
      </c>
      <c r="E38" s="12">
        <v>45</v>
      </c>
      <c r="F38" s="13">
        <v>25</v>
      </c>
      <c r="G38" s="13">
        <f t="shared" si="3"/>
        <v>1125</v>
      </c>
      <c r="H38" s="14">
        <v>0.05</v>
      </c>
      <c r="I38" s="15">
        <f t="shared" si="4"/>
        <v>56.25</v>
      </c>
      <c r="J38" s="13">
        <f t="shared" si="5"/>
        <v>1068.75</v>
      </c>
    </row>
    <row r="39" spans="1:10" x14ac:dyDescent="0.25">
      <c r="A39" s="10">
        <v>43934</v>
      </c>
      <c r="B39" s="11" t="s">
        <v>36</v>
      </c>
      <c r="C39" s="11" t="s">
        <v>58</v>
      </c>
      <c r="D39" s="11" t="s">
        <v>62</v>
      </c>
      <c r="E39" s="12">
        <v>15</v>
      </c>
      <c r="F39" s="13">
        <v>1.29</v>
      </c>
      <c r="G39" s="13">
        <f t="shared" si="3"/>
        <v>19.350000000000001</v>
      </c>
      <c r="H39" s="14">
        <v>0.05</v>
      </c>
      <c r="I39" s="15">
        <f t="shared" si="4"/>
        <v>0.96750000000000014</v>
      </c>
      <c r="J39" s="13">
        <f t="shared" si="5"/>
        <v>18.3825</v>
      </c>
    </row>
    <row r="40" spans="1:10" x14ac:dyDescent="0.25">
      <c r="A40" s="10">
        <v>43956</v>
      </c>
      <c r="B40" s="11" t="s">
        <v>36</v>
      </c>
      <c r="C40" s="11" t="s">
        <v>58</v>
      </c>
      <c r="D40" s="11" t="s">
        <v>55</v>
      </c>
      <c r="E40" s="12">
        <v>42</v>
      </c>
      <c r="F40" s="13">
        <v>4.99</v>
      </c>
      <c r="G40" s="13">
        <f t="shared" si="3"/>
        <v>209.58</v>
      </c>
      <c r="H40" s="14">
        <v>0</v>
      </c>
      <c r="I40" s="15">
        <f t="shared" si="4"/>
        <v>0</v>
      </c>
      <c r="J40" s="13">
        <f t="shared" si="5"/>
        <v>209.58</v>
      </c>
    </row>
    <row r="41" spans="1:10" x14ac:dyDescent="0.25">
      <c r="A41" s="10">
        <v>44009</v>
      </c>
      <c r="B41" s="11" t="s">
        <v>36</v>
      </c>
      <c r="C41" s="11" t="s">
        <v>61</v>
      </c>
      <c r="D41" s="11" t="s">
        <v>60</v>
      </c>
      <c r="E41" s="12">
        <v>4</v>
      </c>
      <c r="F41" s="13">
        <v>125.6</v>
      </c>
      <c r="G41" s="13">
        <f t="shared" si="3"/>
        <v>502.4</v>
      </c>
      <c r="H41" s="9">
        <v>0.05</v>
      </c>
      <c r="I41" s="15">
        <f t="shared" si="4"/>
        <v>25.12</v>
      </c>
      <c r="J41" s="13">
        <f t="shared" si="5"/>
        <v>477.28</v>
      </c>
    </row>
    <row r="42" spans="1:10" x14ac:dyDescent="0.25">
      <c r="A42" s="10">
        <v>44089</v>
      </c>
      <c r="B42" s="11" t="s">
        <v>36</v>
      </c>
      <c r="C42" s="11" t="s">
        <v>58</v>
      </c>
      <c r="D42" s="11" t="s">
        <v>59</v>
      </c>
      <c r="E42" s="12">
        <v>6</v>
      </c>
      <c r="F42" s="13">
        <v>22.5</v>
      </c>
      <c r="G42" s="13">
        <f t="shared" si="3"/>
        <v>135</v>
      </c>
      <c r="H42" s="9">
        <v>0</v>
      </c>
      <c r="I42" s="15">
        <f t="shared" si="4"/>
        <v>0</v>
      </c>
      <c r="J42" s="13">
        <f t="shared" si="5"/>
        <v>135</v>
      </c>
    </row>
    <row r="43" spans="1:10" x14ac:dyDescent="0.25">
      <c r="A43" s="10">
        <v>44125</v>
      </c>
      <c r="B43" s="11" t="s">
        <v>36</v>
      </c>
      <c r="C43" s="11" t="s">
        <v>61</v>
      </c>
      <c r="D43" s="11" t="s">
        <v>50</v>
      </c>
      <c r="E43" s="12">
        <v>4</v>
      </c>
      <c r="F43" s="13">
        <v>17.899999999999999</v>
      </c>
      <c r="G43" s="13">
        <f t="shared" si="3"/>
        <v>71.599999999999994</v>
      </c>
      <c r="H43" s="14">
        <v>0.1</v>
      </c>
      <c r="I43" s="15">
        <f t="shared" si="4"/>
        <v>7.16</v>
      </c>
      <c r="J43" s="13">
        <f t="shared" si="5"/>
        <v>64.44</v>
      </c>
    </row>
    <row r="44" spans="1:10" x14ac:dyDescent="0.25">
      <c r="A44" s="10">
        <v>44140</v>
      </c>
      <c r="B44" s="11" t="s">
        <v>36</v>
      </c>
      <c r="C44" s="11" t="s">
        <v>58</v>
      </c>
      <c r="D44" s="11" t="s">
        <v>60</v>
      </c>
      <c r="E44" s="12">
        <v>2</v>
      </c>
      <c r="F44" s="13">
        <v>125.6</v>
      </c>
      <c r="G44" s="13">
        <f t="shared" si="3"/>
        <v>251.2</v>
      </c>
      <c r="H44" s="9">
        <v>0.05</v>
      </c>
      <c r="I44" s="15">
        <f t="shared" si="4"/>
        <v>12.56</v>
      </c>
      <c r="J44" s="13">
        <f t="shared" si="5"/>
        <v>238.64</v>
      </c>
    </row>
    <row r="45" spans="1:10" x14ac:dyDescent="0.25">
      <c r="A45" s="10">
        <v>43842</v>
      </c>
      <c r="B45" s="11" t="s">
        <v>9</v>
      </c>
      <c r="C45" s="11" t="s">
        <v>49</v>
      </c>
      <c r="D45" s="11" t="s">
        <v>50</v>
      </c>
      <c r="E45" s="12">
        <v>3</v>
      </c>
      <c r="F45" s="13">
        <v>17.8</v>
      </c>
      <c r="G45" s="13">
        <f t="shared" si="3"/>
        <v>53.400000000000006</v>
      </c>
      <c r="H45" s="14">
        <v>0</v>
      </c>
      <c r="I45" s="15">
        <f t="shared" si="4"/>
        <v>0</v>
      </c>
      <c r="J45" s="13">
        <f t="shared" si="5"/>
        <v>53.400000000000006</v>
      </c>
    </row>
    <row r="46" spans="1:10" x14ac:dyDescent="0.25">
      <c r="A46" s="10">
        <v>43855</v>
      </c>
      <c r="B46" s="11" t="s">
        <v>9</v>
      </c>
      <c r="C46" s="11" t="s">
        <v>56</v>
      </c>
      <c r="D46" s="11" t="s">
        <v>57</v>
      </c>
      <c r="E46" s="12">
        <v>55</v>
      </c>
      <c r="F46" s="13">
        <v>25</v>
      </c>
      <c r="G46" s="13">
        <f t="shared" si="3"/>
        <v>1375</v>
      </c>
      <c r="H46" s="14">
        <v>0</v>
      </c>
      <c r="I46" s="15">
        <f t="shared" si="4"/>
        <v>0</v>
      </c>
      <c r="J46" s="13">
        <f t="shared" si="5"/>
        <v>1375</v>
      </c>
    </row>
    <row r="47" spans="1:10" x14ac:dyDescent="0.25">
      <c r="A47" s="10">
        <v>43835</v>
      </c>
      <c r="B47" s="11" t="s">
        <v>9</v>
      </c>
      <c r="C47" s="11" t="s">
        <v>56</v>
      </c>
      <c r="D47" s="11" t="s">
        <v>59</v>
      </c>
      <c r="E47" s="12">
        <v>4</v>
      </c>
      <c r="F47" s="13">
        <v>22.5</v>
      </c>
      <c r="G47" s="13">
        <f t="shared" si="3"/>
        <v>90</v>
      </c>
      <c r="H47" s="9">
        <v>0.1</v>
      </c>
      <c r="I47" s="15">
        <f t="shared" si="4"/>
        <v>9</v>
      </c>
      <c r="J47" s="13">
        <f t="shared" si="5"/>
        <v>81</v>
      </c>
    </row>
    <row r="48" spans="1:10" x14ac:dyDescent="0.25">
      <c r="A48" s="10">
        <v>43879</v>
      </c>
      <c r="B48" s="11" t="s">
        <v>9</v>
      </c>
      <c r="C48" s="11" t="s">
        <v>49</v>
      </c>
      <c r="D48" s="11" t="s">
        <v>62</v>
      </c>
      <c r="E48" s="12">
        <v>15</v>
      </c>
      <c r="F48" s="13">
        <v>1.29</v>
      </c>
      <c r="G48" s="13">
        <f t="shared" si="3"/>
        <v>19.350000000000001</v>
      </c>
      <c r="H48" s="14">
        <v>0.05</v>
      </c>
      <c r="I48" s="15">
        <f t="shared" si="4"/>
        <v>0.96750000000000014</v>
      </c>
      <c r="J48" s="13">
        <f t="shared" si="5"/>
        <v>18.3825</v>
      </c>
    </row>
    <row r="49" spans="1:10" x14ac:dyDescent="0.25">
      <c r="A49" s="10">
        <v>43865</v>
      </c>
      <c r="B49" s="11" t="s">
        <v>9</v>
      </c>
      <c r="C49" s="11" t="s">
        <v>49</v>
      </c>
      <c r="D49" s="11" t="s">
        <v>50</v>
      </c>
      <c r="E49" s="12">
        <v>4</v>
      </c>
      <c r="F49" s="13">
        <v>19.989999999999998</v>
      </c>
      <c r="G49" s="13">
        <f t="shared" si="3"/>
        <v>79.959999999999994</v>
      </c>
      <c r="H49" s="14">
        <v>0</v>
      </c>
      <c r="I49" s="15">
        <f t="shared" si="4"/>
        <v>0</v>
      </c>
      <c r="J49" s="13">
        <f t="shared" si="5"/>
        <v>79.959999999999994</v>
      </c>
    </row>
    <row r="50" spans="1:10" x14ac:dyDescent="0.25">
      <c r="A50" s="10">
        <v>43885</v>
      </c>
      <c r="B50" s="11" t="s">
        <v>9</v>
      </c>
      <c r="C50" s="11" t="s">
        <v>56</v>
      </c>
      <c r="D50" s="11" t="s">
        <v>62</v>
      </c>
      <c r="E50" s="12">
        <v>10</v>
      </c>
      <c r="F50" s="13">
        <v>1.29</v>
      </c>
      <c r="G50" s="13">
        <f t="shared" si="3"/>
        <v>12.9</v>
      </c>
      <c r="H50" s="14">
        <v>0</v>
      </c>
      <c r="I50" s="15">
        <f t="shared" si="4"/>
        <v>0</v>
      </c>
      <c r="J50" s="13">
        <f t="shared" si="5"/>
        <v>12.9</v>
      </c>
    </row>
    <row r="51" spans="1:10" x14ac:dyDescent="0.25">
      <c r="A51" s="10">
        <v>43863</v>
      </c>
      <c r="B51" s="11" t="s">
        <v>9</v>
      </c>
      <c r="C51" s="11" t="s">
        <v>56</v>
      </c>
      <c r="D51" s="11" t="s">
        <v>63</v>
      </c>
      <c r="E51" s="12">
        <v>35</v>
      </c>
      <c r="F51" s="13">
        <v>2.5</v>
      </c>
      <c r="G51" s="13">
        <f t="shared" si="3"/>
        <v>87.5</v>
      </c>
      <c r="H51" s="9">
        <v>0.02</v>
      </c>
      <c r="I51" s="15">
        <f t="shared" si="4"/>
        <v>1.75</v>
      </c>
      <c r="J51" s="13">
        <f t="shared" si="5"/>
        <v>85.75</v>
      </c>
    </row>
    <row r="52" spans="1:10" x14ac:dyDescent="0.25">
      <c r="A52" s="10">
        <v>43947</v>
      </c>
      <c r="B52" s="11" t="s">
        <v>9</v>
      </c>
      <c r="C52" s="11" t="s">
        <v>56</v>
      </c>
      <c r="D52" s="11" t="s">
        <v>50</v>
      </c>
      <c r="E52" s="12">
        <v>3</v>
      </c>
      <c r="F52" s="13">
        <v>19.989999999999998</v>
      </c>
      <c r="G52" s="13">
        <f t="shared" si="3"/>
        <v>59.97</v>
      </c>
      <c r="H52" s="14">
        <v>0</v>
      </c>
      <c r="I52" s="15">
        <f t="shared" si="4"/>
        <v>0</v>
      </c>
      <c r="J52" s="13">
        <f t="shared" si="5"/>
        <v>59.97</v>
      </c>
    </row>
    <row r="53" spans="1:10" x14ac:dyDescent="0.25">
      <c r="A53" s="10">
        <v>44106</v>
      </c>
      <c r="B53" s="11" t="s">
        <v>9</v>
      </c>
      <c r="C53" s="11" t="s">
        <v>49</v>
      </c>
      <c r="D53" s="11" t="s">
        <v>69</v>
      </c>
      <c r="E53" s="12">
        <v>5</v>
      </c>
      <c r="F53" s="13">
        <v>6.5</v>
      </c>
      <c r="G53" s="13">
        <f t="shared" si="3"/>
        <v>32.5</v>
      </c>
      <c r="H53" s="14">
        <v>0</v>
      </c>
      <c r="I53" s="15">
        <f t="shared" si="4"/>
        <v>0</v>
      </c>
      <c r="J53" s="13">
        <f t="shared" si="5"/>
        <v>32.5</v>
      </c>
    </row>
    <row r="54" spans="1:10" x14ac:dyDescent="0.25">
      <c r="A54" s="10">
        <v>44186</v>
      </c>
      <c r="B54" s="11" t="s">
        <v>9</v>
      </c>
      <c r="C54" s="11" t="s">
        <v>56</v>
      </c>
      <c r="D54" s="11" t="s">
        <v>50</v>
      </c>
      <c r="E54" s="12">
        <v>3</v>
      </c>
      <c r="F54" s="13">
        <v>19.989999999999998</v>
      </c>
      <c r="G54" s="13">
        <f t="shared" si="3"/>
        <v>59.97</v>
      </c>
      <c r="H54" s="9">
        <v>0</v>
      </c>
      <c r="I54" s="15">
        <f t="shared" si="4"/>
        <v>0</v>
      </c>
      <c r="J54" s="13">
        <f t="shared" si="5"/>
        <v>59.97</v>
      </c>
    </row>
    <row r="55" spans="1:10" x14ac:dyDescent="0.25">
      <c r="A55" s="10">
        <v>44175</v>
      </c>
      <c r="B55" s="11" t="s">
        <v>9</v>
      </c>
      <c r="C55" s="11" t="s">
        <v>56</v>
      </c>
      <c r="D55" s="11" t="s">
        <v>63</v>
      </c>
      <c r="E55" s="12">
        <v>40</v>
      </c>
      <c r="F55" s="13">
        <v>2.5</v>
      </c>
      <c r="G55" s="13">
        <f t="shared" si="3"/>
        <v>100</v>
      </c>
      <c r="H55" s="9">
        <v>0</v>
      </c>
      <c r="I55" s="15">
        <f t="shared" si="4"/>
        <v>0</v>
      </c>
      <c r="J55" s="13">
        <f t="shared" si="5"/>
        <v>100</v>
      </c>
    </row>
    <row r="56" spans="1:10" x14ac:dyDescent="0.25">
      <c r="A56" s="10">
        <v>44168</v>
      </c>
      <c r="B56" s="11" t="s">
        <v>9</v>
      </c>
      <c r="C56" s="11" t="s">
        <v>49</v>
      </c>
      <c r="D56" s="11" t="s">
        <v>62</v>
      </c>
      <c r="E56" s="12">
        <v>10</v>
      </c>
      <c r="F56" s="13">
        <v>1.29</v>
      </c>
      <c r="G56" s="13">
        <f t="shared" si="3"/>
        <v>12.9</v>
      </c>
      <c r="H56" s="14">
        <v>0</v>
      </c>
      <c r="I56" s="15">
        <f t="shared" si="4"/>
        <v>0</v>
      </c>
      <c r="J56" s="13">
        <f t="shared" si="5"/>
        <v>12.9</v>
      </c>
    </row>
  </sheetData>
  <sortState xmlns:xlrd2="http://schemas.microsoft.com/office/spreadsheetml/2017/richdata2" ref="A2:J56">
    <sortCondition ref="A2:A56" customList="styczeń,luty,marzec,kwiecień,maj,czerwiec,lipiec,sierpień,wrzesień,październik,listopad,grudzień"/>
  </sortState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2F9F478A4010324DA3B85CCADFF8CF2C" ma:contentTypeVersion="2" ma:contentTypeDescription="Utwórz nowy dokument." ma:contentTypeScope="" ma:versionID="205c21cab0dc247d76182d56b00d6b92">
  <xsd:schema xmlns:xsd="http://www.w3.org/2001/XMLSchema" xmlns:xs="http://www.w3.org/2001/XMLSchema" xmlns:p="http://schemas.microsoft.com/office/2006/metadata/properties" xmlns:ns2="e005343a-8db0-40f5-bf1d-be11e853879a" targetNamespace="http://schemas.microsoft.com/office/2006/metadata/properties" ma:root="true" ma:fieldsID="f5148e9a4f8e4195433a371693596271" ns2:_="">
    <xsd:import namespace="e005343a-8db0-40f5-bf1d-be11e853879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05343a-8db0-40f5-bf1d-be11e85387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98333A8-4E13-48AE-B02F-27195488252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5680916-04ED-4E73-8283-3A734AF70D6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D8DFA752-A6C0-40E4-8FC8-15D3B8E99E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005343a-8db0-40f5-bf1d-be11e853879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Zad. 1</vt:lpstr>
      <vt:lpstr>Zad. 2</vt:lpstr>
      <vt:lpstr>Zad. 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Bartłomiej Jefmański</dc:creator>
  <cp:keywords/>
  <dc:description/>
  <cp:lastModifiedBy>Paweł Mazur (188950)</cp:lastModifiedBy>
  <cp:revision/>
  <dcterms:created xsi:type="dcterms:W3CDTF">2017-11-08T20:25:58Z</dcterms:created>
  <dcterms:modified xsi:type="dcterms:W3CDTF">2025-12-04T10:34:23Z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0x0101002F9F478A4010324DA3B85CCADFF8CF2C</vt:lpwstr>
  </property>
</Properties>
</file>