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ur\Desktop\STUDIA\LICENCJAT\1 SEMESTR\"/>
    </mc:Choice>
  </mc:AlternateContent>
  <xr:revisionPtr revIDLastSave="0" documentId="13_ncr:1_{7D65165A-C0BA-450F-9DCB-C515D2C3D5B6}" xr6:coauthVersionLast="47" xr6:coauthVersionMax="47" xr10:uidLastSave="{00000000-0000-0000-0000-000000000000}"/>
  <bookViews>
    <workbookView xWindow="-120" yWindow="-120" windowWidth="29040" windowHeight="15720" xr2:uid="{5A1BB69F-140A-41D9-9B67-CCE1EEB4E5C7}"/>
  </bookViews>
  <sheets>
    <sheet name="SKLEP Z OWOCA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16" i="1"/>
  <c r="F20" i="1" s="1"/>
  <c r="F7" i="1"/>
  <c r="F14" i="1"/>
  <c r="F6" i="1"/>
  <c r="F10" i="1"/>
  <c r="F8" i="1"/>
  <c r="F4" i="1"/>
  <c r="F11" i="1"/>
  <c r="F13" i="1"/>
  <c r="F9" i="1"/>
  <c r="F5" i="1"/>
  <c r="F12" i="1"/>
  <c r="F17" i="1" l="1"/>
  <c r="F19" i="1" s="1"/>
</calcChain>
</file>

<file path=xl/sharedStrings.xml><?xml version="1.0" encoding="utf-8"?>
<sst xmlns="http://schemas.openxmlformats.org/spreadsheetml/2006/main" count="31" uniqueCount="31">
  <si>
    <t>OWOCE:</t>
  </si>
  <si>
    <t>Jabłko</t>
  </si>
  <si>
    <t>Pomarańcza</t>
  </si>
  <si>
    <t>Banan</t>
  </si>
  <si>
    <t>Kiwi</t>
  </si>
  <si>
    <t>Grejfrut</t>
  </si>
  <si>
    <t>Mango</t>
  </si>
  <si>
    <t>Mandarynka</t>
  </si>
  <si>
    <t>Pomelo</t>
  </si>
  <si>
    <t>Kaki</t>
  </si>
  <si>
    <t>Truskawka</t>
  </si>
  <si>
    <t>Malina</t>
  </si>
  <si>
    <t>CENA ZA KG:</t>
  </si>
  <si>
    <t>RAZEM:</t>
  </si>
  <si>
    <t>TWOJA GOTÓKA:</t>
  </si>
  <si>
    <t>RESZTA:</t>
  </si>
  <si>
    <t>W przypadku zakupu 5 lub więcej kg danego owocu, naliczany jest rabat w wysokości 21%.</t>
  </si>
  <si>
    <t>Po zsumowaniu ilośći zakupionych owoców, sami dobieramy dla ciebie wielkość torby, do której idealnie zmieścisz swoje owoce.</t>
  </si>
  <si>
    <t>RAZEM OWOCÓW:</t>
  </si>
  <si>
    <t>Torba mała</t>
  </si>
  <si>
    <t>Torba średnia</t>
  </si>
  <si>
    <t>Torba duża</t>
  </si>
  <si>
    <t>25,01 - 50kg</t>
  </si>
  <si>
    <t>Jednorazówka</t>
  </si>
  <si>
    <t>do 10kg</t>
  </si>
  <si>
    <t>10,01 - 25kg</t>
  </si>
  <si>
    <t>SWOJE OWOCE ZAPAKUJ DO:</t>
  </si>
  <si>
    <t>Borówka</t>
  </si>
  <si>
    <t>ILOŚĆ:</t>
  </si>
  <si>
    <t>DO ZAPŁATY:</t>
  </si>
  <si>
    <t>ponad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</si>
</sst>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u/>
      <sz val="11"/>
      <color rgb="FFFF0000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33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164" fontId="0" fillId="6" borderId="0" xfId="0" applyNumberFormat="1" applyFill="1" applyAlignment="1">
      <alignment horizontal="left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ny" xfId="0" builtinId="0"/>
  </cellStyles>
  <dxfs count="8">
    <dxf>
      <fill>
        <patternFill>
          <bgColor rgb="FF00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numFmt numFmtId="164" formatCode="#,##0.00\ &quot;zł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,##0.00\ &quot;zł&quot;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FF33"/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800">
                <a:latin typeface="Times New Roman" panose="02020603050405020304" pitchFamily="18" charset="0"/>
                <a:cs typeface="Times New Roman" panose="02020603050405020304" pitchFamily="18" charset="0"/>
              </a:rPr>
              <a:t>Wydatek</a:t>
            </a:r>
            <a:r>
              <a:rPr lang="pl-PL" sz="18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na owoce:</a:t>
            </a:r>
            <a:endParaRPr lang="en-US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'SKLEP Z OWOCAMI'!$F$2</c:f>
              <c:strCache>
                <c:ptCount val="1"/>
                <c:pt idx="0">
                  <c:v>DO ZAPŁATY: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0"/>
                    <a:lumOff val="100000"/>
                  </a:schemeClr>
                </a:gs>
                <a:gs pos="54000">
                  <a:srgbClr val="FF0000"/>
                </a:gs>
                <a:gs pos="100000">
                  <a:schemeClr val="accent6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n>
              <a:solidFill>
                <a:schemeClr val="tx1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'SKLEP Z OWOCAMI'!$C$3:$C$14</c:f>
              <c:strCache>
                <c:ptCount val="12"/>
                <c:pt idx="0">
                  <c:v>Jabłko</c:v>
                </c:pt>
                <c:pt idx="1">
                  <c:v>Mandarynka</c:v>
                </c:pt>
                <c:pt idx="2">
                  <c:v>Malina</c:v>
                </c:pt>
                <c:pt idx="3">
                  <c:v>Kiwi</c:v>
                </c:pt>
                <c:pt idx="4">
                  <c:v>Pomarańcza</c:v>
                </c:pt>
                <c:pt idx="5">
                  <c:v>Mango</c:v>
                </c:pt>
                <c:pt idx="6">
                  <c:v>Truskawka</c:v>
                </c:pt>
                <c:pt idx="7">
                  <c:v>Grejfrut</c:v>
                </c:pt>
                <c:pt idx="8">
                  <c:v>Pomelo</c:v>
                </c:pt>
                <c:pt idx="9">
                  <c:v>Borówka</c:v>
                </c:pt>
                <c:pt idx="10">
                  <c:v>Kaki</c:v>
                </c:pt>
                <c:pt idx="11">
                  <c:v>Banan</c:v>
                </c:pt>
              </c:strCache>
            </c:strRef>
          </c:cat>
          <c:val>
            <c:numRef>
              <c:f>'SKLEP Z OWOCAMI'!$F$3:$F$14</c:f>
              <c:numCache>
                <c:formatCode>#\ ##0.00\ "zł"</c:formatCode>
                <c:ptCount val="12"/>
                <c:pt idx="0">
                  <c:v>7.133700000000001</c:v>
                </c:pt>
                <c:pt idx="1">
                  <c:v>9.33</c:v>
                </c:pt>
                <c:pt idx="2">
                  <c:v>10.76</c:v>
                </c:pt>
                <c:pt idx="3">
                  <c:v>11.58</c:v>
                </c:pt>
                <c:pt idx="4">
                  <c:v>13.77</c:v>
                </c:pt>
                <c:pt idx="5">
                  <c:v>14.38</c:v>
                </c:pt>
                <c:pt idx="6">
                  <c:v>14.984999999999999</c:v>
                </c:pt>
                <c:pt idx="7">
                  <c:v>15.92</c:v>
                </c:pt>
                <c:pt idx="8">
                  <c:v>17.98</c:v>
                </c:pt>
                <c:pt idx="9">
                  <c:v>23.98</c:v>
                </c:pt>
                <c:pt idx="10">
                  <c:v>25.56</c:v>
                </c:pt>
                <c:pt idx="11">
                  <c:v>26.109500000000004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4-4B93-8EC4-8D1F7524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1417023"/>
        <c:axId val="2061403295"/>
      </c:barChart>
      <c:catAx>
        <c:axId val="206141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l-PL"/>
          </a:p>
        </c:txPr>
        <c:crossAx val="2061403295"/>
        <c:crosses val="autoZero"/>
        <c:auto val="0"/>
        <c:lblAlgn val="ctr"/>
        <c:lblOffset val="100"/>
        <c:noMultiLvlLbl val="0"/>
      </c:catAx>
      <c:valAx>
        <c:axId val="206140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lgDashDotDot"/>
              <a:round/>
              <a:headEnd w="lg" len="lg"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6141702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rgbClr val="FF0000">
          <a:alpha val="40000"/>
        </a:srgbClr>
      </a:glow>
      <a:outerShdw blurRad="444500" sx="101000" sy="101000" algn="ctr" rotWithShape="0">
        <a:prstClr val="black">
          <a:alpha val="57000"/>
        </a:prstClr>
      </a:outerShdw>
    </a:effectLst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</xdr:colOff>
      <xdr:row>8</xdr:row>
      <xdr:rowOff>47625</xdr:rowOff>
    </xdr:from>
    <xdr:to>
      <xdr:col>16</xdr:col>
      <xdr:colOff>542924</xdr:colOff>
      <xdr:row>28</xdr:row>
      <xdr:rowOff>66675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C419413-A210-0C6D-5F95-72297B9C4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A2BFB-81B4-4AD9-A4CA-92187FE16F60}" name="Tabela1" displayName="Tabela1" ref="C2:F14" totalsRowShown="0">
  <autoFilter ref="C2:F14" xr:uid="{6ACA2BFB-81B4-4AD9-A4CA-92187FE16F60}"/>
  <sortState xmlns:xlrd2="http://schemas.microsoft.com/office/spreadsheetml/2017/richdata2" ref="C3:F14">
    <sortCondition ref="F2:F14"/>
  </sortState>
  <tableColumns count="4">
    <tableColumn id="1" xr3:uid="{AA91D8C5-2B6E-4243-81ED-8B262216AC8F}" name="OWOCE:"/>
    <tableColumn id="2" xr3:uid="{46A893FF-09BD-4D3F-B008-30DB94758219}" name="CENA ZA KG:" dataDxfId="7"/>
    <tableColumn id="3" xr3:uid="{9CB4829B-8961-4C21-B93B-3A232A42DD4F}" name="ILOŚĆ:" dataDxfId="6"/>
    <tableColumn id="4" xr3:uid="{3A031BAF-1975-4E6B-8905-8FBBE0C97326}" name="DO ZAPŁATY:" dataDxfId="5">
      <calculatedColumnFormula>IF(E3&gt;=5,(E3*D3)-21%*(E3*D3),E3*D3)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90911F-CC6E-45B0-A67F-DCC87E310C68}">
  <we:reference id="e849ddb8-6bbd-4833-bd4b-59030099d63e" version="1.0.0.0" store="EXCatalog" storeType="EXCatalog"/>
  <we:alternateReferences>
    <we:reference id="WA200000113" version="1.0.0.0" store="pl-PL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0850-540D-41AC-825A-7F82909F136F}">
  <dimension ref="A1:J21"/>
  <sheetViews>
    <sheetView tabSelected="1" workbookViewId="0">
      <selection activeCell="B5" sqref="B5"/>
    </sheetView>
  </sheetViews>
  <sheetFormatPr defaultRowHeight="15" x14ac:dyDescent="0.25"/>
  <cols>
    <col min="1" max="1" width="12.28515625" bestFit="1" customWidth="1"/>
    <col min="2" max="2" width="11.42578125" bestFit="1" customWidth="1"/>
    <col min="3" max="3" width="11.85546875" bestFit="1" customWidth="1"/>
    <col min="4" max="4" width="16.7109375" style="1" customWidth="1"/>
    <col min="5" max="5" width="11.42578125" customWidth="1"/>
    <col min="6" max="6" width="25.28515625" bestFit="1" customWidth="1"/>
    <col min="7" max="7" width="10.42578125" customWidth="1"/>
    <col min="9" max="9" width="13.140625" customWidth="1"/>
    <col min="10" max="10" width="13.7109375" bestFit="1" customWidth="1"/>
  </cols>
  <sheetData>
    <row r="1" spans="1:10" x14ac:dyDescent="0.25">
      <c r="A1" s="17"/>
      <c r="B1" s="15"/>
    </row>
    <row r="2" spans="1:10" x14ac:dyDescent="0.25">
      <c r="A2" s="17"/>
      <c r="B2" s="15"/>
      <c r="C2" t="s">
        <v>0</v>
      </c>
      <c r="D2" s="5" t="s">
        <v>12</v>
      </c>
      <c r="E2" s="1" t="s">
        <v>28</v>
      </c>
      <c r="F2" s="1" t="s">
        <v>29</v>
      </c>
      <c r="H2" s="4" t="s">
        <v>16</v>
      </c>
    </row>
    <row r="3" spans="1:10" x14ac:dyDescent="0.25">
      <c r="A3" s="17"/>
      <c r="B3" s="15"/>
      <c r="C3" t="s">
        <v>1</v>
      </c>
      <c r="D3" s="2">
        <v>1.29</v>
      </c>
      <c r="E3" s="1">
        <v>7</v>
      </c>
      <c r="F3" s="2">
        <f>IF(E3&gt;=5,(E3*D3)-21%*(E3*D3),E3*D3)</f>
        <v>7.133700000000001</v>
      </c>
      <c r="H3" s="6" t="s">
        <v>17</v>
      </c>
    </row>
    <row r="4" spans="1:10" x14ac:dyDescent="0.25">
      <c r="A4" s="17"/>
      <c r="B4" s="15"/>
      <c r="C4" t="s">
        <v>7</v>
      </c>
      <c r="D4" s="2">
        <v>3.11</v>
      </c>
      <c r="E4" s="1">
        <v>3</v>
      </c>
      <c r="F4" s="2">
        <f t="shared" ref="F4:F14" si="0">IF(E4&gt;=5,(E4*D4)-21%*(E4*D4),E4*D4)</f>
        <v>9.33</v>
      </c>
      <c r="I4" s="10" t="s">
        <v>23</v>
      </c>
      <c r="J4" t="s">
        <v>24</v>
      </c>
    </row>
    <row r="5" spans="1:10" x14ac:dyDescent="0.25">
      <c r="A5" s="16"/>
      <c r="B5" s="15"/>
      <c r="C5" t="s">
        <v>11</v>
      </c>
      <c r="D5" s="2">
        <v>13.45</v>
      </c>
      <c r="E5" s="1">
        <v>0.8</v>
      </c>
      <c r="F5" s="2">
        <f t="shared" si="0"/>
        <v>10.76</v>
      </c>
      <c r="I5" s="11" t="s">
        <v>19</v>
      </c>
      <c r="J5" t="s">
        <v>25</v>
      </c>
    </row>
    <row r="6" spans="1:10" x14ac:dyDescent="0.25">
      <c r="A6" s="16"/>
      <c r="B6" s="15"/>
      <c r="C6" t="s">
        <v>4</v>
      </c>
      <c r="D6" s="2">
        <v>5.79</v>
      </c>
      <c r="E6" s="1">
        <v>2</v>
      </c>
      <c r="F6" s="2">
        <f t="shared" si="0"/>
        <v>11.58</v>
      </c>
      <c r="I6" s="12" t="s">
        <v>20</v>
      </c>
      <c r="J6" t="s">
        <v>22</v>
      </c>
    </row>
    <row r="7" spans="1:10" x14ac:dyDescent="0.25">
      <c r="C7" t="s">
        <v>2</v>
      </c>
      <c r="D7" s="2">
        <v>4.59</v>
      </c>
      <c r="E7" s="1">
        <v>3</v>
      </c>
      <c r="F7" s="2">
        <f t="shared" si="0"/>
        <v>13.77</v>
      </c>
      <c r="I7" s="13" t="s">
        <v>21</v>
      </c>
      <c r="J7" t="s">
        <v>30</v>
      </c>
    </row>
    <row r="8" spans="1:10" x14ac:dyDescent="0.25">
      <c r="C8" t="s">
        <v>6</v>
      </c>
      <c r="D8" s="2">
        <v>7.19</v>
      </c>
      <c r="E8" s="1">
        <v>2</v>
      </c>
      <c r="F8" s="2">
        <f t="shared" si="0"/>
        <v>14.38</v>
      </c>
    </row>
    <row r="9" spans="1:10" x14ac:dyDescent="0.25">
      <c r="C9" t="s">
        <v>10</v>
      </c>
      <c r="D9" s="2">
        <v>9.99</v>
      </c>
      <c r="E9" s="1">
        <v>1.5</v>
      </c>
      <c r="F9" s="2">
        <f t="shared" si="0"/>
        <v>14.984999999999999</v>
      </c>
    </row>
    <row r="10" spans="1:10" x14ac:dyDescent="0.25">
      <c r="C10" t="s">
        <v>5</v>
      </c>
      <c r="D10" s="2">
        <v>3.98</v>
      </c>
      <c r="E10" s="1">
        <v>4</v>
      </c>
      <c r="F10" s="2">
        <f t="shared" si="0"/>
        <v>15.92</v>
      </c>
    </row>
    <row r="11" spans="1:10" x14ac:dyDescent="0.25">
      <c r="C11" t="s">
        <v>8</v>
      </c>
      <c r="D11" s="2">
        <v>8.99</v>
      </c>
      <c r="E11" s="1">
        <v>2</v>
      </c>
      <c r="F11" s="2">
        <f t="shared" si="0"/>
        <v>17.98</v>
      </c>
    </row>
    <row r="12" spans="1:10" x14ac:dyDescent="0.25">
      <c r="C12" t="s">
        <v>27</v>
      </c>
      <c r="D12" s="2">
        <v>11.99</v>
      </c>
      <c r="E12" s="1">
        <v>2</v>
      </c>
      <c r="F12" s="2">
        <f t="shared" si="0"/>
        <v>23.98</v>
      </c>
    </row>
    <row r="13" spans="1:10" x14ac:dyDescent="0.25">
      <c r="C13" t="s">
        <v>9</v>
      </c>
      <c r="D13" s="2">
        <v>6.39</v>
      </c>
      <c r="E13" s="1">
        <v>4</v>
      </c>
      <c r="F13" s="2">
        <f t="shared" si="0"/>
        <v>25.56</v>
      </c>
    </row>
    <row r="14" spans="1:10" x14ac:dyDescent="0.25">
      <c r="C14" t="s">
        <v>3</v>
      </c>
      <c r="D14" s="2">
        <v>6.61</v>
      </c>
      <c r="E14" s="1">
        <v>5</v>
      </c>
      <c r="F14" s="2">
        <f t="shared" si="0"/>
        <v>26.109500000000004</v>
      </c>
    </row>
    <row r="15" spans="1:10" x14ac:dyDescent="0.25">
      <c r="D15" s="2"/>
      <c r="E15" s="1"/>
      <c r="F15" s="2"/>
    </row>
    <row r="16" spans="1:10" x14ac:dyDescent="0.25">
      <c r="D16" s="1" t="s">
        <v>18</v>
      </c>
      <c r="E16" s="5">
        <f>SUM($E$3:$E$14)</f>
        <v>36.299999999999997</v>
      </c>
      <c r="F16" s="6"/>
    </row>
    <row r="17" spans="4:6" x14ac:dyDescent="0.25">
      <c r="E17" s="7" t="s">
        <v>13</v>
      </c>
      <c r="F17" s="9">
        <f>SUM($F$3:$F$14)</f>
        <v>191.48820000000001</v>
      </c>
    </row>
    <row r="18" spans="4:6" x14ac:dyDescent="0.25">
      <c r="E18" s="8" t="s">
        <v>14</v>
      </c>
      <c r="F18" s="9">
        <v>210</v>
      </c>
    </row>
    <row r="19" spans="4:6" x14ac:dyDescent="0.25">
      <c r="E19" s="3" t="s">
        <v>15</v>
      </c>
      <c r="F19" s="14">
        <f>IF($F$17&gt;$F$18,"MASZ ZA MAŁO PIENIĘDZY",$F$18-$F$17)</f>
        <v>18.511799999999994</v>
      </c>
    </row>
    <row r="20" spans="4:6" x14ac:dyDescent="0.25">
      <c r="D20" s="5"/>
      <c r="E20" s="3" t="s">
        <v>26</v>
      </c>
      <c r="F20" t="str">
        <f>IF($E$16&gt;10,IF($E$16&gt;25,IF($E$16&gt;50,$I$7,$I$6),$I$5),$I$4)</f>
        <v>Torba średnia</v>
      </c>
    </row>
    <row r="21" spans="4:6" x14ac:dyDescent="0.25">
      <c r="D21" s="5"/>
    </row>
  </sheetData>
  <conditionalFormatting sqref="F19">
    <cfRule type="expression" dxfId="4" priority="6">
      <formula>$F$19="MASZ ZA MAŁO PIENIĘDZY"</formula>
    </cfRule>
  </conditionalFormatting>
  <conditionalFormatting sqref="F20">
    <cfRule type="expression" dxfId="3" priority="1">
      <formula>$F$20="Torba duża"</formula>
    </cfRule>
    <cfRule type="expression" dxfId="2" priority="2">
      <formula>$F$20="Torba średnia"</formula>
    </cfRule>
    <cfRule type="expression" dxfId="1" priority="3">
      <formula>$F$20="Torba mała"</formula>
    </cfRule>
    <cfRule type="expression" dxfId="0" priority="4">
      <formula>$F$20="Jednorazówka"</formula>
    </cfRule>
  </conditionalFormatting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SKLEP Z OWOCAMI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Mazur</dc:creator>
  <cp:lastModifiedBy>Paweł Mazur (188950)</cp:lastModifiedBy>
  <dcterms:created xsi:type="dcterms:W3CDTF">2022-12-07T18:34:59Z</dcterms:created>
  <dcterms:modified xsi:type="dcterms:W3CDTF">2025-12-04T10:28:54Z</dcterms:modified>
</cp:coreProperties>
</file>